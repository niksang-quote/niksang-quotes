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Nikhil\Downloads\"/>
    </mc:Choice>
  </mc:AlternateContent>
  <xr:revisionPtr revIDLastSave="0" documentId="10_ncr:8100000_{0D6727BD-ECFF-46B3-B555-7887E3550817}" xr6:coauthVersionLast="34" xr6:coauthVersionMax="34" xr10:uidLastSave="{00000000-0000-0000-0000-000000000000}"/>
  <bookViews>
    <workbookView xWindow="0" yWindow="0" windowWidth="28800" windowHeight="12105" tabRatio="500" activeTab="1" xr2:uid="{00000000-000D-0000-FFFF-FFFF00000000}"/>
  </bookViews>
  <sheets>
    <sheet name="Price List" sheetId="1" r:id="rId1"/>
    <sheet name="Quote Builder" sheetId="2" r:id="rId2"/>
    <sheet name="Quote Output" sheetId="3" r:id="rId3"/>
    <sheet name="Settings" sheetId="4" r:id="rId4"/>
  </sheets>
  <definedNames>
    <definedName name="_xlnm.Print_Area" localSheetId="2">'Quote Output'!$A$1:$J$55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9" i="3" l="1"/>
  <c r="I29" i="3"/>
  <c r="H29" i="3"/>
  <c r="G29" i="3"/>
  <c r="F29" i="3"/>
  <c r="E29" i="3"/>
  <c r="B29" i="3"/>
  <c r="J28" i="3"/>
  <c r="I28" i="3"/>
  <c r="H28" i="3"/>
  <c r="G28" i="3"/>
  <c r="F28" i="3"/>
  <c r="E28" i="3"/>
  <c r="B28" i="3"/>
  <c r="J27" i="3"/>
  <c r="I27" i="3"/>
  <c r="H27" i="3"/>
  <c r="G27" i="3"/>
  <c r="F27" i="3"/>
  <c r="E27" i="3"/>
  <c r="B27" i="3"/>
  <c r="J26" i="3"/>
  <c r="I26" i="3"/>
  <c r="H26" i="3"/>
  <c r="G26" i="3"/>
  <c r="F26" i="3"/>
  <c r="E26" i="3"/>
  <c r="B26" i="3"/>
  <c r="J25" i="3"/>
  <c r="I25" i="3"/>
  <c r="H25" i="3"/>
  <c r="G25" i="3"/>
  <c r="F25" i="3"/>
  <c r="E25" i="3"/>
  <c r="B25" i="3"/>
  <c r="J24" i="3"/>
  <c r="I24" i="3"/>
  <c r="H24" i="3"/>
  <c r="G24" i="3"/>
  <c r="F24" i="3"/>
  <c r="E24" i="3"/>
  <c r="B24" i="3"/>
  <c r="J23" i="3"/>
  <c r="I23" i="3"/>
  <c r="H23" i="3"/>
  <c r="G23" i="3"/>
  <c r="F23" i="3"/>
  <c r="E23" i="3"/>
  <c r="B23" i="3"/>
  <c r="J22" i="3"/>
  <c r="I22" i="3"/>
  <c r="H22" i="3"/>
  <c r="G22" i="3"/>
  <c r="F22" i="3"/>
  <c r="E22" i="3"/>
  <c r="B22" i="3"/>
  <c r="J21" i="3"/>
  <c r="I21" i="3"/>
  <c r="H21" i="3"/>
  <c r="G21" i="3"/>
  <c r="F21" i="3"/>
  <c r="E21" i="3"/>
  <c r="B21" i="3"/>
  <c r="J20" i="3"/>
  <c r="I20" i="3"/>
  <c r="H20" i="3"/>
  <c r="G20" i="3"/>
  <c r="F20" i="3"/>
  <c r="E20" i="3"/>
  <c r="B20" i="3"/>
  <c r="J19" i="3"/>
  <c r="I19" i="3"/>
  <c r="H19" i="3"/>
  <c r="G19" i="3"/>
  <c r="F19" i="3"/>
  <c r="E19" i="3"/>
  <c r="B19" i="3"/>
  <c r="J18" i="3"/>
  <c r="I18" i="3"/>
  <c r="H18" i="3"/>
  <c r="G18" i="3"/>
  <c r="F18" i="3"/>
  <c r="E18" i="3"/>
  <c r="B18" i="3"/>
  <c r="J17" i="3"/>
  <c r="I17" i="3"/>
  <c r="H17" i="3"/>
  <c r="G17" i="3"/>
  <c r="F17" i="3"/>
  <c r="E17" i="3"/>
  <c r="B17" i="3"/>
  <c r="J16" i="3"/>
  <c r="I16" i="3"/>
  <c r="H16" i="3"/>
  <c r="G16" i="3"/>
  <c r="F16" i="3"/>
  <c r="E16" i="3"/>
  <c r="B16" i="3"/>
  <c r="J15" i="3"/>
  <c r="I15" i="3"/>
  <c r="H15" i="3"/>
  <c r="G15" i="3"/>
  <c r="F15" i="3"/>
  <c r="E15" i="3"/>
  <c r="B15" i="3"/>
  <c r="J14" i="3"/>
  <c r="I14" i="3"/>
  <c r="H14" i="3"/>
  <c r="G14" i="3"/>
  <c r="F14" i="3"/>
  <c r="E14" i="3"/>
  <c r="B14" i="3"/>
  <c r="J13" i="3"/>
  <c r="I13" i="3"/>
  <c r="H13" i="3"/>
  <c r="G13" i="3"/>
  <c r="F13" i="3"/>
  <c r="E13" i="3"/>
  <c r="B13" i="3"/>
  <c r="J12" i="3"/>
  <c r="I12" i="3"/>
  <c r="H12" i="3"/>
  <c r="G12" i="3"/>
  <c r="F12" i="3"/>
  <c r="E12" i="3"/>
  <c r="B12" i="3"/>
  <c r="J11" i="3"/>
  <c r="I11" i="3"/>
  <c r="H11" i="3"/>
  <c r="G11" i="3"/>
  <c r="F11" i="3"/>
  <c r="E11" i="3"/>
  <c r="B11" i="3"/>
  <c r="G10" i="3"/>
  <c r="E10" i="3"/>
  <c r="B10" i="3"/>
  <c r="C7" i="3"/>
  <c r="H6" i="3"/>
  <c r="H5" i="3"/>
  <c r="C4" i="3"/>
  <c r="I34" i="2"/>
  <c r="H34" i="2"/>
  <c r="K34" i="2" s="1"/>
  <c r="F34" i="2"/>
  <c r="D34" i="2"/>
  <c r="D29" i="3" s="1"/>
  <c r="C34" i="2"/>
  <c r="C29" i="3" s="1"/>
  <c r="I33" i="2"/>
  <c r="H33" i="2"/>
  <c r="J33" i="2" s="1"/>
  <c r="F33" i="2"/>
  <c r="D33" i="2"/>
  <c r="D28" i="3" s="1"/>
  <c r="C33" i="2"/>
  <c r="C28" i="3" s="1"/>
  <c r="I32" i="2"/>
  <c r="H32" i="2"/>
  <c r="J32" i="2" s="1"/>
  <c r="F32" i="2"/>
  <c r="D32" i="2"/>
  <c r="D27" i="3" s="1"/>
  <c r="C32" i="2"/>
  <c r="C27" i="3" s="1"/>
  <c r="I31" i="2"/>
  <c r="H31" i="2"/>
  <c r="J31" i="2" s="1"/>
  <c r="F31" i="2"/>
  <c r="D31" i="2"/>
  <c r="D26" i="3" s="1"/>
  <c r="C31" i="2"/>
  <c r="C26" i="3" s="1"/>
  <c r="I30" i="2"/>
  <c r="H30" i="2"/>
  <c r="K30" i="2" s="1"/>
  <c r="F30" i="2"/>
  <c r="D30" i="2"/>
  <c r="D25" i="3" s="1"/>
  <c r="C30" i="2"/>
  <c r="C25" i="3" s="1"/>
  <c r="I29" i="2"/>
  <c r="H29" i="2"/>
  <c r="K29" i="2" s="1"/>
  <c r="F29" i="2"/>
  <c r="D29" i="2"/>
  <c r="D24" i="3" s="1"/>
  <c r="C29" i="2"/>
  <c r="C24" i="3" s="1"/>
  <c r="I28" i="2"/>
  <c r="H28" i="2"/>
  <c r="K28" i="2" s="1"/>
  <c r="F28" i="2"/>
  <c r="D28" i="2"/>
  <c r="D23" i="3" s="1"/>
  <c r="C28" i="2"/>
  <c r="C23" i="3" s="1"/>
  <c r="I27" i="2"/>
  <c r="H27" i="2"/>
  <c r="K27" i="2" s="1"/>
  <c r="F27" i="2"/>
  <c r="D27" i="2"/>
  <c r="D22" i="3" s="1"/>
  <c r="C27" i="2"/>
  <c r="C22" i="3" s="1"/>
  <c r="I26" i="2"/>
  <c r="H26" i="2"/>
  <c r="K26" i="2" s="1"/>
  <c r="F26" i="2"/>
  <c r="D26" i="2"/>
  <c r="D21" i="3" s="1"/>
  <c r="C26" i="2"/>
  <c r="C21" i="3" s="1"/>
  <c r="I25" i="2"/>
  <c r="H25" i="2"/>
  <c r="K25" i="2" s="1"/>
  <c r="F25" i="2"/>
  <c r="D25" i="2"/>
  <c r="D20" i="3" s="1"/>
  <c r="C25" i="2"/>
  <c r="C20" i="3" s="1"/>
  <c r="I24" i="2"/>
  <c r="H24" i="2"/>
  <c r="K24" i="2" s="1"/>
  <c r="F24" i="2"/>
  <c r="D24" i="2"/>
  <c r="D19" i="3" s="1"/>
  <c r="C24" i="2"/>
  <c r="C19" i="3" s="1"/>
  <c r="I23" i="2"/>
  <c r="H23" i="2"/>
  <c r="J23" i="2" s="1"/>
  <c r="F23" i="2"/>
  <c r="D23" i="2"/>
  <c r="D18" i="3" s="1"/>
  <c r="C23" i="2"/>
  <c r="C18" i="3" s="1"/>
  <c r="I22" i="2"/>
  <c r="H22" i="2"/>
  <c r="J22" i="2" s="1"/>
  <c r="F22" i="2"/>
  <c r="D22" i="2"/>
  <c r="D17" i="3" s="1"/>
  <c r="C22" i="2"/>
  <c r="C17" i="3" s="1"/>
  <c r="I21" i="2"/>
  <c r="H21" i="2"/>
  <c r="K21" i="2" s="1"/>
  <c r="F21" i="2"/>
  <c r="D21" i="2"/>
  <c r="D16" i="3" s="1"/>
  <c r="C21" i="2"/>
  <c r="C16" i="3" s="1"/>
  <c r="I20" i="2"/>
  <c r="H20" i="2"/>
  <c r="K20" i="2" s="1"/>
  <c r="F20" i="2"/>
  <c r="D20" i="2"/>
  <c r="D15" i="3" s="1"/>
  <c r="C20" i="2"/>
  <c r="C15" i="3" s="1"/>
  <c r="I19" i="2"/>
  <c r="H19" i="2"/>
  <c r="K19" i="2" s="1"/>
  <c r="F19" i="2"/>
  <c r="D19" i="2"/>
  <c r="D14" i="3" s="1"/>
  <c r="C19" i="2"/>
  <c r="C14" i="3" s="1"/>
  <c r="I18" i="2"/>
  <c r="H18" i="2"/>
  <c r="K18" i="2" s="1"/>
  <c r="F18" i="2"/>
  <c r="D18" i="2"/>
  <c r="D13" i="3" s="1"/>
  <c r="C18" i="2"/>
  <c r="C13" i="3" s="1"/>
  <c r="I17" i="2"/>
  <c r="H17" i="2"/>
  <c r="J17" i="2" s="1"/>
  <c r="F17" i="2"/>
  <c r="D17" i="2"/>
  <c r="D12" i="3" s="1"/>
  <c r="C17" i="2"/>
  <c r="C12" i="3" s="1"/>
  <c r="I16" i="2"/>
  <c r="H16" i="2"/>
  <c r="J16" i="2" s="1"/>
  <c r="F16" i="2"/>
  <c r="D16" i="2"/>
  <c r="D11" i="3" s="1"/>
  <c r="C16" i="2"/>
  <c r="C11" i="3" s="1"/>
  <c r="I15" i="2"/>
  <c r="I10" i="3" s="1"/>
  <c r="H15" i="2"/>
  <c r="J15" i="2" s="1"/>
  <c r="K38" i="2" s="1"/>
  <c r="J33" i="3" s="1"/>
  <c r="F15" i="2"/>
  <c r="F10" i="3" s="1"/>
  <c r="D15" i="2"/>
  <c r="D10" i="3" s="1"/>
  <c r="C15" i="2"/>
  <c r="C10" i="3" s="1"/>
  <c r="B6" i="2"/>
  <c r="C6" i="3" s="1"/>
  <c r="B5" i="2"/>
  <c r="C5" i="3" s="1"/>
  <c r="K37" i="2" l="1"/>
  <c r="J32" i="3" s="1"/>
  <c r="H10" i="3"/>
  <c r="K36" i="2"/>
  <c r="J31" i="3" s="1"/>
  <c r="J18" i="2"/>
  <c r="J34" i="2"/>
  <c r="K23" i="2"/>
  <c r="K15" i="2"/>
  <c r="J10" i="3" s="1"/>
  <c r="J29" i="2"/>
  <c r="K32" i="2"/>
  <c r="J24" i="2"/>
  <c r="J27" i="2"/>
  <c r="K16" i="2"/>
  <c r="J30" i="2"/>
  <c r="K33" i="2"/>
  <c r="K17" i="2"/>
  <c r="K31" i="2"/>
  <c r="J21" i="2"/>
  <c r="J28" i="2"/>
  <c r="J19" i="2"/>
  <c r="J26" i="2"/>
  <c r="K22" i="2"/>
  <c r="J20" i="2"/>
  <c r="J25" i="2"/>
  <c r="K39" i="2" l="1"/>
  <c r="J34" i="3" s="1"/>
</calcChain>
</file>

<file path=xl/sharedStrings.xml><?xml version="1.0" encoding="utf-8"?>
<sst xmlns="http://schemas.openxmlformats.org/spreadsheetml/2006/main" count="386" uniqueCount="167">
  <si>
    <t>NIKSANG — MASTER PRICE LIST  (up to 300 products)</t>
  </si>
  <si>
    <t>Enter all products &amp; services here. Yellow cells = editable inputs. GST must be 5, 12 or 18.</t>
  </si>
  <si>
    <t>#</t>
  </si>
  <si>
    <t>Product / Service Name</t>
  </si>
  <si>
    <t>Category</t>
  </si>
  <si>
    <t>Unit</t>
  </si>
  <si>
    <t>Retail Price</t>
  </si>
  <si>
    <t>Trade Price</t>
  </si>
  <si>
    <t>Wholesale Price</t>
  </si>
  <si>
    <t>GST Rate (%)</t>
  </si>
  <si>
    <t>Material/Size Option</t>
  </si>
  <si>
    <t>Notes</t>
  </si>
  <si>
    <t>Standard</t>
  </si>
  <si>
    <t>Large</t>
  </si>
  <si>
    <t>Materials</t>
  </si>
  <si>
    <t>Grade A</t>
  </si>
  <si>
    <t>NIKSANG — QUOTE BUILDER</t>
  </si>
  <si>
    <t>Fill yellow cells. Type the exact product name from the Price List. Prices &amp; GST auto-fill.</t>
  </si>
  <si>
    <t>CUSTOMER DETAILS</t>
  </si>
  <si>
    <t>Quote Number:</t>
  </si>
  <si>
    <t>Quote Date:</t>
  </si>
  <si>
    <t>Valid Until:</t>
  </si>
  <si>
    <t>Customer Name:</t>
  </si>
  <si>
    <t>Customer Type:</t>
  </si>
  <si>
    <t>Retail</t>
  </si>
  <si>
    <t>Customer Email:</t>
  </si>
  <si>
    <t>Customer Phone:</t>
  </si>
  <si>
    <t>Overall Discount %:</t>
  </si>
  <si>
    <t>QUOTE LINE ITEMS</t>
  </si>
  <si>
    <t>Qty</t>
  </si>
  <si>
    <t>Unit Price (excl. GST)</t>
  </si>
  <si>
    <t>Line Disc %</t>
  </si>
  <si>
    <t>Amount (excl. GST)</t>
  </si>
  <si>
    <t>GST %</t>
  </si>
  <si>
    <t>GST Amt</t>
  </si>
  <si>
    <t>Total (incl. GST)</t>
  </si>
  <si>
    <t>Subtotal (excl. GST):</t>
  </si>
  <si>
    <t>Overall Discount (from B11):</t>
  </si>
  <si>
    <t>Total GST:</t>
  </si>
  <si>
    <t>GRAND TOTAL (incl. GST):</t>
  </si>
  <si>
    <t>NIKSANG</t>
  </si>
  <si>
    <t>QUOTATION</t>
  </si>
  <si>
    <t>Your trusted partner for quality products &amp; services</t>
  </si>
  <si>
    <t>BILL TO:</t>
  </si>
  <si>
    <t>Email:</t>
  </si>
  <si>
    <t>Phone:</t>
  </si>
  <si>
    <t>Product / Service</t>
  </si>
  <si>
    <t>Unit Price</t>
  </si>
  <si>
    <t>Disc %</t>
  </si>
  <si>
    <t>Amount</t>
  </si>
  <si>
    <t>Total</t>
  </si>
  <si>
    <t>Discount:</t>
  </si>
  <si>
    <t>GRAND TOTAL:</t>
  </si>
  <si>
    <t>TERMS &amp; CONDITIONS</t>
  </si>
  <si>
    <t>1. This quotation is valid for 30 days from the date of issue.</t>
  </si>
  <si>
    <t>2. Prices are subject to change after the validity period.</t>
  </si>
  <si>
    <t>3. 50% advance payment required to confirm the order.</t>
  </si>
  <si>
    <t>4. Delivery timeline will be confirmed upon order confirmation.</t>
  </si>
  <si>
    <t>5. GST will be charged as per government regulations.</t>
  </si>
  <si>
    <t>6. Any disputes are subject to local jurisdiction.</t>
  </si>
  <si>
    <t>Thank you for your business!  |  NIKSANG  |  For queries, contact us at: [your email/phone]</t>
  </si>
  <si>
    <t>NIKSANG — SETTINGS</t>
  </si>
  <si>
    <t>Company Name:</t>
  </si>
  <si>
    <t>Niksang</t>
  </si>
  <si>
    <t>← You can edit this</t>
  </si>
  <si>
    <t>GST Rate 1 (%):</t>
  </si>
  <si>
    <t>GST Rate 2 (%):</t>
  </si>
  <si>
    <t>GST Rate 3 (%):</t>
  </si>
  <si>
    <t>Tier 1 Name:</t>
  </si>
  <si>
    <t>Tier 2 Name:</t>
  </si>
  <si>
    <t>Trade</t>
  </si>
  <si>
    <t>Tier 3 Name:</t>
  </si>
  <si>
    <t>Wholesale</t>
  </si>
  <si>
    <t>Default Validity (days):</t>
  </si>
  <si>
    <t>Max Products in Price List:</t>
  </si>
  <si>
    <t>Terms Line 1:</t>
  </si>
  <si>
    <t>Payment due within 30 days of invoice.</t>
  </si>
  <si>
    <t>Terms Line 2:</t>
  </si>
  <si>
    <t>All prices are in local currency.</t>
  </si>
  <si>
    <t>T Yellow Panel</t>
  </si>
  <si>
    <t>C Gold Panel</t>
  </si>
  <si>
    <t>C Gold Interlock Panel</t>
  </si>
  <si>
    <t>M Green Panel</t>
  </si>
  <si>
    <t>M Rustic Green Panel</t>
  </si>
  <si>
    <t>Autumn Panel</t>
  </si>
  <si>
    <t>A Black Panel</t>
  </si>
  <si>
    <t>Multi Pink Panel</t>
  </si>
  <si>
    <t>Black Butching Panel</t>
  </si>
  <si>
    <t>Black Rustic Panel</t>
  </si>
  <si>
    <t>N Green Panel</t>
  </si>
  <si>
    <t>Gold Butching Panel</t>
  </si>
  <si>
    <t>Bamboo 3D Panel</t>
  </si>
  <si>
    <t>Sft</t>
  </si>
  <si>
    <t>Autumn Ledge Stone</t>
  </si>
  <si>
    <t>Black Ledge Stone</t>
  </si>
  <si>
    <t>T Yellow Ledge Stone</t>
  </si>
  <si>
    <t>M Green Ledge Stone</t>
  </si>
  <si>
    <t>M Rustic Green Ledge Stone</t>
  </si>
  <si>
    <t>Copper Panel</t>
  </si>
  <si>
    <t>Deoli Green Panel</t>
  </si>
  <si>
    <t>Apple Gold Panel</t>
  </si>
  <si>
    <t>Super Shine Panel</t>
  </si>
  <si>
    <t>Agra Red Panel</t>
  </si>
  <si>
    <t>Tint mint Panel</t>
  </si>
  <si>
    <t>J Yellow Panel</t>
  </si>
  <si>
    <t>Star Galaxy Panel</t>
  </si>
  <si>
    <t>Ocean Blue Panel</t>
  </si>
  <si>
    <t>Bravo Panel</t>
  </si>
  <si>
    <t>Bravo Z interlock Panel</t>
  </si>
  <si>
    <t>Silver Grey Panel</t>
  </si>
  <si>
    <t>Kandla Grey Panel</t>
  </si>
  <si>
    <t>Yellow R F Panel</t>
  </si>
  <si>
    <t>Kund Butching Panel</t>
  </si>
  <si>
    <t>Black Granite Chipout</t>
  </si>
  <si>
    <t>T Yellow Patti</t>
  </si>
  <si>
    <t>S White Granite Rockface</t>
  </si>
  <si>
    <t>N Green Patti</t>
  </si>
  <si>
    <t>Rainbow Chipout</t>
  </si>
  <si>
    <t>White Marble Chipout</t>
  </si>
  <si>
    <t>Apple Gold Patti</t>
  </si>
  <si>
    <t>Copper Patti</t>
  </si>
  <si>
    <t>Deoli Green Patti</t>
  </si>
  <si>
    <t>Super Shine Patti</t>
  </si>
  <si>
    <t>Steel Grey Patti</t>
  </si>
  <si>
    <t>Grey Marble Chipout</t>
  </si>
  <si>
    <t>J Yellow Rockface</t>
  </si>
  <si>
    <t>Mint Rockface</t>
  </si>
  <si>
    <t>Gold Butching Patti</t>
  </si>
  <si>
    <t>autumn butching Patti</t>
  </si>
  <si>
    <t>chocolate butching Patti</t>
  </si>
  <si>
    <t>Basalt Rockface</t>
  </si>
  <si>
    <t>T Yellow Leather</t>
  </si>
  <si>
    <t>K Grey Leather</t>
  </si>
  <si>
    <t>C Black Leather</t>
  </si>
  <si>
    <t>K Green Riverwash</t>
  </si>
  <si>
    <t>A Red Leather</t>
  </si>
  <si>
    <t>K Grey Leather 2x1</t>
  </si>
  <si>
    <t>K Grey Polish 2x1</t>
  </si>
  <si>
    <t>K Grey Natural 2x1</t>
  </si>
  <si>
    <t>C Black semi Brush</t>
  </si>
  <si>
    <t>C Black Leather 2x1</t>
  </si>
  <si>
    <t>C Black Bush Hammered</t>
  </si>
  <si>
    <t>K Grey Bush Hammered</t>
  </si>
  <si>
    <t>Wave Finish C Black</t>
  </si>
  <si>
    <t>Basalt Shotblast</t>
  </si>
  <si>
    <t>Basalt shotblast</t>
  </si>
  <si>
    <t>Basalt Devali</t>
  </si>
  <si>
    <t>Basalt Shot Blast &amp; CNC</t>
  </si>
  <si>
    <t>Capri Beize Water Blast Accent Wall</t>
  </si>
  <si>
    <t>J Yellow Groove Panel</t>
  </si>
  <si>
    <t>Basalt Flute Kota</t>
  </si>
  <si>
    <t>Basalt Flute Jaipur</t>
  </si>
  <si>
    <t>Leaf mint mosaic Panel</t>
  </si>
  <si>
    <t>Rock &amp; Tumble mint.</t>
  </si>
  <si>
    <t>Rock &amp; Tumble Agra</t>
  </si>
  <si>
    <t>Hexagon Autumn Pcs Panel</t>
  </si>
  <si>
    <t>Hexagon Black Rustic Pcs Panel</t>
  </si>
  <si>
    <t>Rustic Black Crazy Pattern(A)</t>
  </si>
  <si>
    <t>Rustic Black Crazy Pattern(B)</t>
  </si>
  <si>
    <t>Rustic Black Crazy Pattern</t>
  </si>
  <si>
    <t xml:space="preserve">T Yellow Crazy Pattern </t>
  </si>
  <si>
    <t>Gold Honed &amp; Bevelled</t>
  </si>
  <si>
    <t>Rustic Black Honed &amp; Bevelled</t>
  </si>
  <si>
    <t>Rustic Black</t>
  </si>
  <si>
    <t>Saravana Granites</t>
  </si>
  <si>
    <t xml:space="preserve">Saravana </t>
  </si>
  <si>
    <t>black butching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</si>
</sst>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00\%"/>
    <numFmt numFmtId="166" formatCode="0\%"/>
    <numFmt numFmtId="167" formatCode="&quot;₹&quot;\ #,##0.00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26"/>
      <color rgb="FFFFFFFF"/>
      <name val="Arial"/>
      <charset val="1"/>
    </font>
    <font>
      <b/>
      <sz val="22"/>
      <color rgb="FFFFFFFF"/>
      <name val="Arial"/>
      <charset val="1"/>
    </font>
    <font>
      <i/>
      <sz val="9"/>
      <color rgb="FFFFFFFF"/>
      <name val="Arial"/>
      <charset val="1"/>
    </font>
    <font>
      <sz val="9"/>
      <color rgb="FF000000"/>
      <name val="Arial"/>
      <charset val="1"/>
    </font>
    <font>
      <sz val="9"/>
      <color rgb="FF595959"/>
      <name val="Arial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ACD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4" fontId="4" fillId="7" borderId="1" xfId="0" applyNumberFormat="1" applyFont="1" applyFill="1" applyBorder="1" applyAlignment="1">
      <alignment horizontal="center" vertical="center" wrapText="1"/>
    </xf>
    <xf numFmtId="166" fontId="4" fillId="7" borderId="1" xfId="0" applyNumberFormat="1" applyFont="1" applyFill="1" applyBorder="1" applyAlignment="1">
      <alignment horizontal="center" vertical="center" wrapText="1"/>
    </xf>
    <xf numFmtId="4" fontId="5" fillId="7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4" fontId="11" fillId="7" borderId="1" xfId="0" applyNumberFormat="1" applyFont="1" applyFill="1" applyBorder="1" applyAlignment="1">
      <alignment horizontal="center" vertical="center" wrapText="1"/>
    </xf>
    <xf numFmtId="165" fontId="11" fillId="7" borderId="1" xfId="0" applyNumberFormat="1" applyFont="1" applyFill="1" applyBorder="1" applyAlignment="1">
      <alignment horizontal="center" vertical="center" wrapText="1"/>
    </xf>
    <xf numFmtId="166" fontId="11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indent="1"/>
    </xf>
    <xf numFmtId="0" fontId="12" fillId="7" borderId="2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indent="2"/>
    </xf>
    <xf numFmtId="0" fontId="9" fillId="2" borderId="0" xfId="0" applyFont="1" applyFill="1" applyBorder="1" applyAlignment="1">
      <alignment horizontal="right" vertical="center" indent="2"/>
    </xf>
    <xf numFmtId="0" fontId="10" fillId="4" borderId="0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ACD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67E22"/>
      <rgbColor rgb="FF595959"/>
      <rgbColor rgb="FF969696"/>
      <rgbColor rgb="FF1F3864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J303"/>
  <sheetViews>
    <sheetView showGridLines="0" zoomScaleNormal="100" workbookViewId="0">
      <pane ySplit="3" topLeftCell="A4" activePane="bottomLeft" state="frozen"/>
      <selection pane="bottomLeft" activeCell="H98" sqref="H98"/>
    </sheetView>
  </sheetViews>
  <sheetFormatPr defaultColWidth="8.7109375" defaultRowHeight="15" x14ac:dyDescent="0.25"/>
  <cols>
    <col min="1" max="1" width="5" customWidth="1"/>
    <col min="2" max="2" width="38" customWidth="1"/>
    <col min="3" max="3" width="18" customWidth="1"/>
    <col min="4" max="4" width="12" customWidth="1"/>
    <col min="5" max="7" width="15" customWidth="1"/>
    <col min="8" max="8" width="13" customWidth="1"/>
    <col min="9" max="9" width="22" customWidth="1"/>
    <col min="10" max="10" width="25" customWidth="1"/>
  </cols>
  <sheetData>
    <row r="1" spans="1:10" ht="39.75" customHeight="1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21.75" customHeight="1" x14ac:dyDescent="0.2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19.5" customHeight="1" x14ac:dyDescent="0.25">
      <c r="A4" s="2">
        <v>1</v>
      </c>
      <c r="B4" s="3" t="s">
        <v>79</v>
      </c>
      <c r="C4" s="3" t="s">
        <v>14</v>
      </c>
      <c r="D4" s="3" t="s">
        <v>92</v>
      </c>
      <c r="E4" s="29">
        <v>127.113525</v>
      </c>
      <c r="F4" s="29">
        <v>114.40217249999999</v>
      </c>
      <c r="G4" s="29">
        <v>111.85990199999999</v>
      </c>
      <c r="H4" s="4">
        <v>5</v>
      </c>
      <c r="I4" s="3" t="s">
        <v>12</v>
      </c>
      <c r="J4" s="3"/>
    </row>
    <row r="5" spans="1:10" ht="19.5" customHeight="1" x14ac:dyDescent="0.25">
      <c r="A5" s="2">
        <v>2</v>
      </c>
      <c r="B5" s="5" t="s">
        <v>79</v>
      </c>
      <c r="C5" s="5" t="s">
        <v>14</v>
      </c>
      <c r="D5" s="5" t="s">
        <v>92</v>
      </c>
      <c r="E5" s="29">
        <v>127.113525</v>
      </c>
      <c r="F5" s="29">
        <v>114.40217249999999</v>
      </c>
      <c r="G5" s="29">
        <v>111.85990199999999</v>
      </c>
      <c r="H5" s="4">
        <v>5</v>
      </c>
      <c r="I5" s="5" t="s">
        <v>13</v>
      </c>
      <c r="J5" s="5"/>
    </row>
    <row r="6" spans="1:10" ht="19.5" customHeight="1" x14ac:dyDescent="0.25">
      <c r="A6" s="2">
        <v>3</v>
      </c>
      <c r="B6" s="3" t="s">
        <v>80</v>
      </c>
      <c r="C6" s="3" t="s">
        <v>14</v>
      </c>
      <c r="D6" s="3" t="s">
        <v>92</v>
      </c>
      <c r="E6" s="29">
        <v>98.198099999999997</v>
      </c>
      <c r="F6" s="29">
        <v>88.378289999999993</v>
      </c>
      <c r="G6" s="29">
        <v>86.414327999999998</v>
      </c>
      <c r="H6" s="4">
        <v>5</v>
      </c>
      <c r="I6" s="3"/>
      <c r="J6" s="3"/>
    </row>
    <row r="7" spans="1:10" ht="19.5" customHeight="1" x14ac:dyDescent="0.25">
      <c r="A7" s="2">
        <v>4</v>
      </c>
      <c r="B7" s="5" t="s">
        <v>81</v>
      </c>
      <c r="C7" s="5" t="s">
        <v>14</v>
      </c>
      <c r="D7" s="5" t="s">
        <v>92</v>
      </c>
      <c r="E7" s="29">
        <v>98.198099999999997</v>
      </c>
      <c r="F7" s="29">
        <v>88.378289999999993</v>
      </c>
      <c r="G7" s="29">
        <v>86.414327999999998</v>
      </c>
      <c r="H7" s="4">
        <v>5</v>
      </c>
      <c r="I7" s="5"/>
      <c r="J7" s="5"/>
    </row>
    <row r="8" spans="1:10" ht="19.5" customHeight="1" x14ac:dyDescent="0.25">
      <c r="A8" s="2">
        <v>5</v>
      </c>
      <c r="B8" s="3" t="s">
        <v>82</v>
      </c>
      <c r="C8" s="3" t="s">
        <v>14</v>
      </c>
      <c r="D8" s="3" t="s">
        <v>92</v>
      </c>
      <c r="E8" s="29">
        <v>136.85017499999998</v>
      </c>
      <c r="F8" s="29">
        <v>123.16515749999998</v>
      </c>
      <c r="G8" s="29">
        <v>120.42815399999998</v>
      </c>
      <c r="H8" s="4">
        <v>5</v>
      </c>
      <c r="I8" s="3" t="s">
        <v>15</v>
      </c>
      <c r="J8" s="3"/>
    </row>
    <row r="9" spans="1:10" ht="19.5" customHeight="1" x14ac:dyDescent="0.25">
      <c r="A9" s="2">
        <v>6</v>
      </c>
      <c r="B9" s="5" t="s">
        <v>83</v>
      </c>
      <c r="C9" s="5" t="s">
        <v>14</v>
      </c>
      <c r="D9" s="5" t="s">
        <v>92</v>
      </c>
      <c r="E9" s="29">
        <v>136.31309999999999</v>
      </c>
      <c r="F9" s="29">
        <v>122.68178999999999</v>
      </c>
      <c r="G9" s="29">
        <v>119.95552799999999</v>
      </c>
      <c r="H9" s="4">
        <v>5</v>
      </c>
      <c r="I9" s="5"/>
      <c r="J9" s="5"/>
    </row>
    <row r="10" spans="1:10" ht="19.5" customHeight="1" x14ac:dyDescent="0.25">
      <c r="A10" s="2">
        <v>7</v>
      </c>
      <c r="B10" s="3" t="s">
        <v>84</v>
      </c>
      <c r="C10" s="3" t="s">
        <v>14</v>
      </c>
      <c r="D10" s="3" t="s">
        <v>92</v>
      </c>
      <c r="E10" s="29">
        <v>98.198099999999997</v>
      </c>
      <c r="F10" s="29">
        <v>88.378289999999993</v>
      </c>
      <c r="G10" s="29">
        <v>86.414327999999998</v>
      </c>
      <c r="H10" s="4">
        <v>5</v>
      </c>
      <c r="I10" s="3"/>
      <c r="J10" s="3"/>
    </row>
    <row r="11" spans="1:10" ht="19.5" customHeight="1" x14ac:dyDescent="0.25">
      <c r="A11" s="2">
        <v>8</v>
      </c>
      <c r="B11" s="5" t="s">
        <v>84</v>
      </c>
      <c r="C11" s="5" t="s">
        <v>14</v>
      </c>
      <c r="D11" s="5" t="s">
        <v>92</v>
      </c>
      <c r="E11" s="29">
        <v>99.27225</v>
      </c>
      <c r="F11" s="29">
        <v>89.345024999999993</v>
      </c>
      <c r="G11" s="29">
        <v>87.359579999999994</v>
      </c>
      <c r="H11" s="4">
        <v>5</v>
      </c>
      <c r="I11" s="5"/>
      <c r="J11" s="5"/>
    </row>
    <row r="12" spans="1:10" ht="19.5" customHeight="1" x14ac:dyDescent="0.25">
      <c r="A12" s="2">
        <v>9</v>
      </c>
      <c r="B12" s="3" t="s">
        <v>85</v>
      </c>
      <c r="C12" s="3" t="s">
        <v>14</v>
      </c>
      <c r="D12" s="3" t="s">
        <v>92</v>
      </c>
      <c r="E12" s="29">
        <v>98.198099999999997</v>
      </c>
      <c r="F12" s="29">
        <v>88.378289999999993</v>
      </c>
      <c r="G12" s="29">
        <v>86.414327999999998</v>
      </c>
      <c r="H12" s="4">
        <v>5</v>
      </c>
      <c r="I12" s="3"/>
      <c r="J12" s="3"/>
    </row>
    <row r="13" spans="1:10" ht="19.5" customHeight="1" x14ac:dyDescent="0.25">
      <c r="A13" s="2">
        <v>10</v>
      </c>
      <c r="B13" s="5" t="s">
        <v>85</v>
      </c>
      <c r="C13" s="5" t="s">
        <v>14</v>
      </c>
      <c r="D13" s="5" t="s">
        <v>92</v>
      </c>
      <c r="E13" s="29">
        <v>100.34640000000002</v>
      </c>
      <c r="F13" s="29">
        <v>90.311760000000021</v>
      </c>
      <c r="G13" s="29">
        <v>88.304832000000019</v>
      </c>
      <c r="H13" s="4">
        <v>5</v>
      </c>
      <c r="I13" s="5"/>
      <c r="J13" s="5"/>
    </row>
    <row r="14" spans="1:10" ht="19.5" customHeight="1" x14ac:dyDescent="0.25">
      <c r="A14" s="2">
        <v>11</v>
      </c>
      <c r="B14" s="3" t="s">
        <v>85</v>
      </c>
      <c r="C14" s="3" t="s">
        <v>14</v>
      </c>
      <c r="D14" s="3" t="s">
        <v>92</v>
      </c>
      <c r="E14" s="29">
        <v>100.34640000000002</v>
      </c>
      <c r="F14" s="29">
        <v>90.311760000000021</v>
      </c>
      <c r="G14" s="29">
        <v>88.304832000000019</v>
      </c>
      <c r="H14" s="4">
        <v>5</v>
      </c>
      <c r="I14" s="3"/>
      <c r="J14" s="3"/>
    </row>
    <row r="15" spans="1:10" ht="19.5" customHeight="1" x14ac:dyDescent="0.25">
      <c r="A15" s="2">
        <v>12</v>
      </c>
      <c r="B15" s="5" t="s">
        <v>86</v>
      </c>
      <c r="C15" s="5" t="s">
        <v>14</v>
      </c>
      <c r="D15" s="5" t="s">
        <v>92</v>
      </c>
      <c r="E15" s="29">
        <v>99.27225</v>
      </c>
      <c r="F15" s="29">
        <v>89.345024999999993</v>
      </c>
      <c r="G15" s="29">
        <v>87.359579999999994</v>
      </c>
      <c r="H15" s="4">
        <v>5</v>
      </c>
      <c r="I15" s="5"/>
      <c r="J15" s="5"/>
    </row>
    <row r="16" spans="1:10" ht="19.5" customHeight="1" x14ac:dyDescent="0.25">
      <c r="A16" s="2">
        <v>13</v>
      </c>
      <c r="B16" s="3" t="s">
        <v>87</v>
      </c>
      <c r="C16" s="3" t="s">
        <v>14</v>
      </c>
      <c r="D16" s="3" t="s">
        <v>92</v>
      </c>
      <c r="E16" s="29">
        <v>182.77875</v>
      </c>
      <c r="F16" s="29">
        <v>164.50087500000001</v>
      </c>
      <c r="G16" s="29">
        <v>160.84530000000001</v>
      </c>
      <c r="H16" s="4">
        <v>5</v>
      </c>
      <c r="I16" s="3"/>
      <c r="J16" s="3"/>
    </row>
    <row r="17" spans="1:10" ht="19.5" customHeight="1" x14ac:dyDescent="0.25">
      <c r="A17" s="2">
        <v>14</v>
      </c>
      <c r="B17" s="5" t="s">
        <v>88</v>
      </c>
      <c r="C17" s="5" t="s">
        <v>14</v>
      </c>
      <c r="D17" s="5" t="s">
        <v>92</v>
      </c>
      <c r="E17" s="29">
        <v>96.586875000000006</v>
      </c>
      <c r="F17" s="29">
        <v>86.928187500000007</v>
      </c>
      <c r="G17" s="29">
        <v>84.99645000000001</v>
      </c>
      <c r="H17" s="4">
        <v>5</v>
      </c>
      <c r="I17" s="5"/>
      <c r="J17" s="5"/>
    </row>
    <row r="18" spans="1:10" ht="19.5" customHeight="1" x14ac:dyDescent="0.25">
      <c r="A18" s="2">
        <v>15</v>
      </c>
      <c r="B18" s="3" t="s">
        <v>89</v>
      </c>
      <c r="C18" s="3" t="s">
        <v>14</v>
      </c>
      <c r="D18" s="3" t="s">
        <v>92</v>
      </c>
      <c r="E18" s="29">
        <v>101.6631</v>
      </c>
      <c r="F18" s="29">
        <v>91.496790000000004</v>
      </c>
      <c r="G18" s="29">
        <v>89.463527999999997</v>
      </c>
      <c r="H18" s="4">
        <v>5</v>
      </c>
      <c r="I18" s="3"/>
      <c r="J18" s="3"/>
    </row>
    <row r="19" spans="1:10" ht="19.5" customHeight="1" x14ac:dyDescent="0.25">
      <c r="A19" s="2">
        <v>16</v>
      </c>
      <c r="B19" s="5" t="s">
        <v>90</v>
      </c>
      <c r="C19" s="5" t="s">
        <v>14</v>
      </c>
      <c r="D19" s="5" t="s">
        <v>92</v>
      </c>
      <c r="E19" s="29">
        <v>156.79124999999999</v>
      </c>
      <c r="F19" s="29">
        <v>141.11212499999999</v>
      </c>
      <c r="G19" s="29">
        <v>137.97629999999998</v>
      </c>
      <c r="H19" s="4">
        <v>5</v>
      </c>
      <c r="I19" s="5"/>
      <c r="J19" s="5"/>
    </row>
    <row r="20" spans="1:10" ht="19.5" customHeight="1" x14ac:dyDescent="0.25">
      <c r="A20" s="2">
        <v>17</v>
      </c>
      <c r="B20" s="3" t="s">
        <v>91</v>
      </c>
      <c r="C20" s="3" t="s">
        <v>14</v>
      </c>
      <c r="D20" s="3" t="s">
        <v>92</v>
      </c>
      <c r="E20" s="29">
        <v>259.45227</v>
      </c>
      <c r="F20" s="29">
        <v>233.50704300000001</v>
      </c>
      <c r="G20" s="29">
        <v>228.31799760000001</v>
      </c>
      <c r="H20" s="4">
        <v>5</v>
      </c>
      <c r="I20" s="3"/>
      <c r="J20" s="3"/>
    </row>
    <row r="21" spans="1:10" ht="19.5" customHeight="1" x14ac:dyDescent="0.25">
      <c r="A21" s="2">
        <v>18</v>
      </c>
      <c r="B21" s="5" t="s">
        <v>93</v>
      </c>
      <c r="C21" s="5" t="s">
        <v>14</v>
      </c>
      <c r="D21" s="5" t="s">
        <v>92</v>
      </c>
      <c r="E21" s="29">
        <v>74.064374999999998</v>
      </c>
      <c r="F21" s="29">
        <v>66.657937500000003</v>
      </c>
      <c r="G21" s="29">
        <v>65.176649999999995</v>
      </c>
      <c r="H21" s="4">
        <v>5</v>
      </c>
      <c r="I21" s="5"/>
      <c r="J21" s="5"/>
    </row>
    <row r="22" spans="1:10" ht="19.5" customHeight="1" x14ac:dyDescent="0.25">
      <c r="A22" s="2">
        <v>19</v>
      </c>
      <c r="B22" s="3" t="s">
        <v>93</v>
      </c>
      <c r="C22" s="3" t="s">
        <v>14</v>
      </c>
      <c r="D22" s="3" t="s">
        <v>92</v>
      </c>
      <c r="E22" s="29">
        <v>75.138525000000001</v>
      </c>
      <c r="F22" s="29">
        <v>67.624672500000003</v>
      </c>
      <c r="G22" s="29">
        <v>66.121902000000006</v>
      </c>
      <c r="H22" s="4">
        <v>5</v>
      </c>
      <c r="I22" s="3"/>
      <c r="J22" s="3"/>
    </row>
    <row r="23" spans="1:10" ht="19.5" customHeight="1" x14ac:dyDescent="0.25">
      <c r="A23" s="2">
        <v>20</v>
      </c>
      <c r="B23" s="5" t="s">
        <v>94</v>
      </c>
      <c r="C23" s="5" t="s">
        <v>14</v>
      </c>
      <c r="D23" s="5" t="s">
        <v>92</v>
      </c>
      <c r="E23" s="29">
        <v>67.550174999999996</v>
      </c>
      <c r="F23" s="29">
        <v>60.795157499999995</v>
      </c>
      <c r="G23" s="29">
        <v>59.444153999999997</v>
      </c>
      <c r="H23" s="4">
        <v>5</v>
      </c>
      <c r="I23" s="5"/>
      <c r="J23" s="5"/>
    </row>
    <row r="24" spans="1:10" ht="19.5" customHeight="1" x14ac:dyDescent="0.25">
      <c r="A24" s="2">
        <v>21</v>
      </c>
      <c r="B24" s="3" t="s">
        <v>95</v>
      </c>
      <c r="C24" s="3" t="s">
        <v>14</v>
      </c>
      <c r="D24" s="3" t="s">
        <v>92</v>
      </c>
      <c r="E24" s="29">
        <v>87.560550000000006</v>
      </c>
      <c r="F24" s="29">
        <v>78.804495000000003</v>
      </c>
      <c r="G24" s="29">
        <v>77.053284000000005</v>
      </c>
      <c r="H24" s="4">
        <v>5</v>
      </c>
      <c r="I24" s="3"/>
      <c r="J24" s="3"/>
    </row>
    <row r="25" spans="1:10" ht="19.5" customHeight="1" x14ac:dyDescent="0.25">
      <c r="A25" s="2">
        <v>22</v>
      </c>
      <c r="B25" s="5" t="s">
        <v>96</v>
      </c>
      <c r="C25" s="5" t="s">
        <v>14</v>
      </c>
      <c r="D25" s="5" t="s">
        <v>92</v>
      </c>
      <c r="E25" s="29">
        <v>58.887675000000002</v>
      </c>
      <c r="F25" s="29">
        <v>52.998907500000001</v>
      </c>
      <c r="G25" s="29">
        <v>51.821154</v>
      </c>
      <c r="H25" s="4">
        <v>5</v>
      </c>
      <c r="I25" s="5"/>
      <c r="J25" s="5"/>
    </row>
    <row r="26" spans="1:10" ht="19.5" customHeight="1" x14ac:dyDescent="0.25">
      <c r="A26" s="2">
        <v>23</v>
      </c>
      <c r="B26" s="3" t="s">
        <v>97</v>
      </c>
      <c r="C26" s="3" t="s">
        <v>14</v>
      </c>
      <c r="D26" s="3" t="s">
        <v>92</v>
      </c>
      <c r="E26" s="29">
        <v>58.028355000000005</v>
      </c>
      <c r="F26" s="29">
        <v>52.225519500000004</v>
      </c>
      <c r="G26" s="29">
        <v>51.064952400000003</v>
      </c>
      <c r="H26" s="4">
        <v>5</v>
      </c>
      <c r="I26" s="3"/>
      <c r="J26" s="3"/>
    </row>
    <row r="27" spans="1:10" ht="19.5" customHeight="1" x14ac:dyDescent="0.25">
      <c r="A27" s="2">
        <v>24</v>
      </c>
      <c r="B27" s="5" t="s">
        <v>98</v>
      </c>
      <c r="C27" s="5" t="s">
        <v>14</v>
      </c>
      <c r="D27" s="5" t="s">
        <v>92</v>
      </c>
      <c r="E27" s="29">
        <v>109.494</v>
      </c>
      <c r="F27" s="29">
        <v>98.544600000000003</v>
      </c>
      <c r="G27" s="29">
        <v>96.35472</v>
      </c>
      <c r="H27" s="4">
        <v>5</v>
      </c>
      <c r="I27" s="5"/>
      <c r="J27" s="5"/>
    </row>
    <row r="28" spans="1:10" ht="19.5" customHeight="1" x14ac:dyDescent="0.25">
      <c r="A28" s="2">
        <v>25</v>
      </c>
      <c r="B28" s="3" t="s">
        <v>99</v>
      </c>
      <c r="C28" s="3" t="s">
        <v>14</v>
      </c>
      <c r="D28" s="3" t="s">
        <v>92</v>
      </c>
      <c r="E28" s="29">
        <v>109.494</v>
      </c>
      <c r="F28" s="29">
        <v>98.544600000000003</v>
      </c>
      <c r="G28" s="29">
        <v>96.35472</v>
      </c>
      <c r="H28" s="4">
        <v>5</v>
      </c>
      <c r="I28" s="3"/>
      <c r="J28" s="3"/>
    </row>
    <row r="29" spans="1:10" ht="19.5" customHeight="1" x14ac:dyDescent="0.25">
      <c r="A29" s="2">
        <v>26</v>
      </c>
      <c r="B29" s="5" t="s">
        <v>100</v>
      </c>
      <c r="C29" s="5" t="s">
        <v>14</v>
      </c>
      <c r="D29" s="5" t="s">
        <v>92</v>
      </c>
      <c r="E29" s="29">
        <v>118.15649999999999</v>
      </c>
      <c r="F29" s="29">
        <v>106.34084999999999</v>
      </c>
      <c r="G29" s="29">
        <v>103.97771999999999</v>
      </c>
      <c r="H29" s="4">
        <v>5</v>
      </c>
      <c r="I29" s="5"/>
      <c r="J29" s="5"/>
    </row>
    <row r="30" spans="1:10" ht="19.5" customHeight="1" x14ac:dyDescent="0.25">
      <c r="A30" s="2">
        <v>27</v>
      </c>
      <c r="B30" s="3" t="s">
        <v>101</v>
      </c>
      <c r="C30" s="3" t="s">
        <v>14</v>
      </c>
      <c r="D30" s="3" t="s">
        <v>92</v>
      </c>
      <c r="E30" s="29">
        <v>109.494</v>
      </c>
      <c r="F30" s="29">
        <v>98.544600000000003</v>
      </c>
      <c r="G30" s="29">
        <v>96.35472</v>
      </c>
      <c r="H30" s="4">
        <v>5</v>
      </c>
      <c r="I30" s="3"/>
      <c r="J30" s="3"/>
    </row>
    <row r="31" spans="1:10" ht="19.5" customHeight="1" x14ac:dyDescent="0.25">
      <c r="A31" s="2">
        <v>28</v>
      </c>
      <c r="B31" s="5" t="s">
        <v>102</v>
      </c>
      <c r="C31" s="5" t="s">
        <v>14</v>
      </c>
      <c r="D31" s="5" t="s">
        <v>92</v>
      </c>
      <c r="E31" s="29">
        <v>144.14400000000001</v>
      </c>
      <c r="F31" s="29">
        <v>129.7296</v>
      </c>
      <c r="G31" s="29">
        <v>126.84672</v>
      </c>
      <c r="H31" s="4">
        <v>5</v>
      </c>
      <c r="I31" s="5"/>
      <c r="J31" s="5"/>
    </row>
    <row r="32" spans="1:10" ht="19.5" customHeight="1" x14ac:dyDescent="0.25">
      <c r="A32" s="2">
        <v>29</v>
      </c>
      <c r="B32" s="3" t="s">
        <v>102</v>
      </c>
      <c r="C32" s="3" t="s">
        <v>14</v>
      </c>
      <c r="D32" s="3" t="s">
        <v>92</v>
      </c>
      <c r="E32" s="29">
        <v>144.14400000000001</v>
      </c>
      <c r="F32" s="29">
        <v>129.7296</v>
      </c>
      <c r="G32" s="29">
        <v>126.84672</v>
      </c>
      <c r="H32" s="4">
        <v>5</v>
      </c>
      <c r="I32" s="3"/>
      <c r="J32" s="3"/>
    </row>
    <row r="33" spans="1:10" ht="19.5" customHeight="1" x14ac:dyDescent="0.25">
      <c r="A33" s="2">
        <v>30</v>
      </c>
      <c r="B33" s="5" t="s">
        <v>103</v>
      </c>
      <c r="C33" s="5" t="s">
        <v>14</v>
      </c>
      <c r="D33" s="5" t="s">
        <v>92</v>
      </c>
      <c r="E33" s="29">
        <v>126.819</v>
      </c>
      <c r="F33" s="29">
        <v>114.1371</v>
      </c>
      <c r="G33" s="29">
        <v>111.60072</v>
      </c>
      <c r="H33" s="4">
        <v>5</v>
      </c>
      <c r="I33" s="5"/>
      <c r="J33" s="5"/>
    </row>
    <row r="34" spans="1:10" ht="19.5" customHeight="1" x14ac:dyDescent="0.25">
      <c r="A34" s="2">
        <v>31</v>
      </c>
      <c r="B34" s="3" t="s">
        <v>104</v>
      </c>
      <c r="C34" s="3" t="s">
        <v>14</v>
      </c>
      <c r="D34" s="3" t="s">
        <v>92</v>
      </c>
      <c r="E34" s="29">
        <v>155.05875</v>
      </c>
      <c r="F34" s="29">
        <v>139.552875</v>
      </c>
      <c r="G34" s="29">
        <v>136.45170000000002</v>
      </c>
      <c r="H34" s="4">
        <v>5</v>
      </c>
      <c r="I34" s="3"/>
      <c r="J34" s="3"/>
    </row>
    <row r="35" spans="1:10" ht="19.5" customHeight="1" x14ac:dyDescent="0.25">
      <c r="A35" s="2">
        <v>32</v>
      </c>
      <c r="B35" s="5" t="s">
        <v>105</v>
      </c>
      <c r="C35" s="5" t="s">
        <v>14</v>
      </c>
      <c r="D35" s="5" t="s">
        <v>92</v>
      </c>
      <c r="E35" s="29">
        <v>172.73024999999998</v>
      </c>
      <c r="F35" s="29">
        <v>155.45722499999999</v>
      </c>
      <c r="G35" s="29">
        <v>152.00261999999998</v>
      </c>
      <c r="H35" s="4">
        <v>5</v>
      </c>
      <c r="I35" s="5"/>
      <c r="J35" s="5"/>
    </row>
    <row r="36" spans="1:10" ht="19.5" customHeight="1" x14ac:dyDescent="0.25">
      <c r="A36" s="2">
        <v>33</v>
      </c>
      <c r="B36" s="3" t="s">
        <v>106</v>
      </c>
      <c r="C36" s="3" t="s">
        <v>14</v>
      </c>
      <c r="D36" s="3" t="s">
        <v>92</v>
      </c>
      <c r="E36" s="29">
        <v>61.936875000000008</v>
      </c>
      <c r="F36" s="29">
        <v>55.743187500000005</v>
      </c>
      <c r="G36" s="29">
        <v>54.504450000000006</v>
      </c>
      <c r="H36" s="4">
        <v>5</v>
      </c>
      <c r="I36" s="3"/>
      <c r="J36" s="3"/>
    </row>
    <row r="37" spans="1:10" ht="19.5" customHeight="1" x14ac:dyDescent="0.25">
      <c r="A37" s="2">
        <v>34</v>
      </c>
      <c r="B37" s="5" t="s">
        <v>107</v>
      </c>
      <c r="C37" s="5" t="s">
        <v>14</v>
      </c>
      <c r="D37" s="5" t="s">
        <v>92</v>
      </c>
      <c r="E37" s="29">
        <v>212.66437500000004</v>
      </c>
      <c r="F37" s="29">
        <v>191.39793750000004</v>
      </c>
      <c r="G37" s="29">
        <v>187.14465000000004</v>
      </c>
      <c r="H37" s="4">
        <v>5</v>
      </c>
      <c r="I37" s="5"/>
      <c r="J37" s="5"/>
    </row>
    <row r="38" spans="1:10" ht="19.5" customHeight="1" x14ac:dyDescent="0.25">
      <c r="A38" s="2">
        <v>35</v>
      </c>
      <c r="B38" s="3" t="s">
        <v>108</v>
      </c>
      <c r="C38" s="3" t="s">
        <v>14</v>
      </c>
      <c r="D38" s="3" t="s">
        <v>92</v>
      </c>
      <c r="E38" s="29">
        <v>212.66437500000004</v>
      </c>
      <c r="F38" s="29">
        <v>191.39793750000004</v>
      </c>
      <c r="G38" s="29">
        <v>187.14465000000004</v>
      </c>
      <c r="H38" s="4">
        <v>5</v>
      </c>
      <c r="I38" s="3"/>
      <c r="J38" s="3"/>
    </row>
    <row r="39" spans="1:10" ht="19.5" customHeight="1" x14ac:dyDescent="0.25">
      <c r="A39" s="2">
        <v>36</v>
      </c>
      <c r="B39" s="5" t="s">
        <v>109</v>
      </c>
      <c r="C39" s="5" t="s">
        <v>14</v>
      </c>
      <c r="D39" s="5" t="s">
        <v>92</v>
      </c>
      <c r="E39" s="29">
        <v>144.14400000000001</v>
      </c>
      <c r="F39" s="29">
        <v>129.7296</v>
      </c>
      <c r="G39" s="29">
        <v>126.84672</v>
      </c>
      <c r="H39" s="4">
        <v>5</v>
      </c>
      <c r="I39" s="5"/>
      <c r="J39" s="5"/>
    </row>
    <row r="40" spans="1:10" ht="19.5" customHeight="1" x14ac:dyDescent="0.25">
      <c r="A40" s="2">
        <v>37</v>
      </c>
      <c r="B40" s="3" t="s">
        <v>110</v>
      </c>
      <c r="C40" s="3" t="s">
        <v>14</v>
      </c>
      <c r="D40" s="3" t="s">
        <v>92</v>
      </c>
      <c r="E40" s="29">
        <v>157.87406249999998</v>
      </c>
      <c r="F40" s="29">
        <v>142.08665624999998</v>
      </c>
      <c r="G40" s="29">
        <v>138.92917499999999</v>
      </c>
      <c r="H40" s="4">
        <v>5</v>
      </c>
      <c r="I40" s="3"/>
      <c r="J40" s="3"/>
    </row>
    <row r="41" spans="1:10" ht="19.5" customHeight="1" x14ac:dyDescent="0.25">
      <c r="A41" s="2">
        <v>38</v>
      </c>
      <c r="B41" s="5" t="s">
        <v>111</v>
      </c>
      <c r="C41" s="5" t="s">
        <v>14</v>
      </c>
      <c r="D41" s="5" t="s">
        <v>92</v>
      </c>
      <c r="E41" s="29">
        <v>31.531500000000001</v>
      </c>
      <c r="F41" s="29">
        <v>28.378350000000001</v>
      </c>
      <c r="G41" s="29">
        <v>27.747720000000001</v>
      </c>
      <c r="H41" s="4">
        <v>5</v>
      </c>
      <c r="I41" s="5"/>
      <c r="J41" s="5"/>
    </row>
    <row r="42" spans="1:10" ht="19.5" customHeight="1" x14ac:dyDescent="0.25">
      <c r="A42" s="2">
        <v>39</v>
      </c>
      <c r="B42" s="3" t="s">
        <v>112</v>
      </c>
      <c r="C42" s="3" t="s">
        <v>14</v>
      </c>
      <c r="D42" s="3" t="s">
        <v>92</v>
      </c>
      <c r="E42" s="29">
        <v>173.25</v>
      </c>
      <c r="F42" s="29">
        <v>155.92500000000001</v>
      </c>
      <c r="G42" s="29">
        <v>152.46</v>
      </c>
      <c r="H42" s="4">
        <v>5</v>
      </c>
      <c r="I42" s="3"/>
      <c r="J42" s="3"/>
    </row>
    <row r="43" spans="1:10" ht="19.5" customHeight="1" x14ac:dyDescent="0.25">
      <c r="A43" s="2">
        <v>40</v>
      </c>
      <c r="B43" s="5" t="s">
        <v>113</v>
      </c>
      <c r="C43" s="5" t="s">
        <v>14</v>
      </c>
      <c r="D43" s="5" t="s">
        <v>92</v>
      </c>
      <c r="E43" s="29">
        <v>91.952437500000002</v>
      </c>
      <c r="F43" s="29">
        <v>82.757193749999999</v>
      </c>
      <c r="G43" s="29">
        <v>80.91814500000001</v>
      </c>
      <c r="H43" s="4">
        <v>5</v>
      </c>
      <c r="I43" s="5"/>
      <c r="J43" s="5"/>
    </row>
    <row r="44" spans="1:10" ht="19.5" customHeight="1" x14ac:dyDescent="0.25">
      <c r="A44" s="2">
        <v>41</v>
      </c>
      <c r="B44" s="3" t="s">
        <v>114</v>
      </c>
      <c r="C44" s="3" t="s">
        <v>14</v>
      </c>
      <c r="D44" s="3" t="s">
        <v>92</v>
      </c>
      <c r="E44" s="29">
        <v>76.749750000000006</v>
      </c>
      <c r="F44" s="29">
        <v>69.074775000000002</v>
      </c>
      <c r="G44" s="29">
        <v>67.539780000000007</v>
      </c>
      <c r="H44" s="4">
        <v>5</v>
      </c>
      <c r="I44" s="3"/>
      <c r="J44" s="3"/>
    </row>
    <row r="45" spans="1:10" ht="19.5" customHeight="1" x14ac:dyDescent="0.25">
      <c r="A45" s="2">
        <v>42</v>
      </c>
      <c r="B45" s="5" t="s">
        <v>115</v>
      </c>
      <c r="C45" s="5" t="s">
        <v>14</v>
      </c>
      <c r="D45" s="5" t="s">
        <v>92</v>
      </c>
      <c r="E45" s="29">
        <v>105.42262500000001</v>
      </c>
      <c r="F45" s="29">
        <v>94.880362500000004</v>
      </c>
      <c r="G45" s="29">
        <v>92.771910000000005</v>
      </c>
      <c r="H45" s="4">
        <v>5</v>
      </c>
      <c r="I45" s="5"/>
      <c r="J45" s="5"/>
    </row>
    <row r="46" spans="1:10" ht="19.5" customHeight="1" x14ac:dyDescent="0.25">
      <c r="A46" s="2">
        <v>43</v>
      </c>
      <c r="B46" s="3" t="s">
        <v>116</v>
      </c>
      <c r="C46" s="3" t="s">
        <v>14</v>
      </c>
      <c r="D46" s="3" t="s">
        <v>92</v>
      </c>
      <c r="E46" s="29">
        <v>57.813525000000006</v>
      </c>
      <c r="F46" s="29">
        <v>52.032172500000001</v>
      </c>
      <c r="G46" s="29">
        <v>50.875902000000004</v>
      </c>
      <c r="H46" s="4">
        <v>5</v>
      </c>
      <c r="I46" s="3"/>
      <c r="J46" s="3"/>
    </row>
    <row r="47" spans="1:10" ht="19.5" customHeight="1" x14ac:dyDescent="0.25">
      <c r="A47" s="2">
        <v>44</v>
      </c>
      <c r="B47" s="5" t="s">
        <v>117</v>
      </c>
      <c r="C47" s="5" t="s">
        <v>14</v>
      </c>
      <c r="D47" s="5" t="s">
        <v>92</v>
      </c>
      <c r="E47" s="29">
        <v>155.145375</v>
      </c>
      <c r="F47" s="29">
        <v>139.63083750000001</v>
      </c>
      <c r="G47" s="29">
        <v>136.52793</v>
      </c>
      <c r="H47" s="4">
        <v>5</v>
      </c>
      <c r="I47" s="5"/>
      <c r="J47" s="5"/>
    </row>
    <row r="48" spans="1:10" ht="19.5" customHeight="1" x14ac:dyDescent="0.25">
      <c r="A48" s="2">
        <v>45</v>
      </c>
      <c r="B48" s="3" t="s">
        <v>118</v>
      </c>
      <c r="C48" s="3" t="s">
        <v>14</v>
      </c>
      <c r="D48" s="3" t="s">
        <v>92</v>
      </c>
      <c r="E48" s="29">
        <v>143.017875</v>
      </c>
      <c r="F48" s="29">
        <v>128.71608750000001</v>
      </c>
      <c r="G48" s="29">
        <v>125.85573000000001</v>
      </c>
      <c r="H48" s="4">
        <v>5</v>
      </c>
      <c r="I48" s="3"/>
      <c r="J48" s="3"/>
    </row>
    <row r="49" spans="1:10" ht="19.5" customHeight="1" x14ac:dyDescent="0.25">
      <c r="A49" s="2">
        <v>46</v>
      </c>
      <c r="B49" s="5" t="s">
        <v>119</v>
      </c>
      <c r="C49" s="5" t="s">
        <v>14</v>
      </c>
      <c r="D49" s="5" t="s">
        <v>92</v>
      </c>
      <c r="E49" s="29">
        <v>82.380375000000001</v>
      </c>
      <c r="F49" s="29">
        <v>74.142337499999996</v>
      </c>
      <c r="G49" s="29">
        <v>72.494730000000004</v>
      </c>
      <c r="H49" s="4">
        <v>5</v>
      </c>
      <c r="I49" s="5"/>
      <c r="J49" s="5"/>
    </row>
    <row r="50" spans="1:10" ht="19.5" customHeight="1" x14ac:dyDescent="0.25">
      <c r="A50" s="2">
        <v>47</v>
      </c>
      <c r="B50" s="3" t="s">
        <v>120</v>
      </c>
      <c r="C50" s="3" t="s">
        <v>14</v>
      </c>
      <c r="D50" s="3" t="s">
        <v>92</v>
      </c>
      <c r="E50" s="29">
        <v>73.717874999999992</v>
      </c>
      <c r="F50" s="29">
        <v>66.346087499999996</v>
      </c>
      <c r="G50" s="29">
        <v>64.871729999999999</v>
      </c>
      <c r="H50" s="4">
        <v>5</v>
      </c>
      <c r="I50" s="3"/>
      <c r="J50" s="3"/>
    </row>
    <row r="51" spans="1:10" ht="19.5" customHeight="1" x14ac:dyDescent="0.25">
      <c r="A51" s="2">
        <v>48</v>
      </c>
      <c r="B51" s="5" t="s">
        <v>121</v>
      </c>
      <c r="C51" s="5" t="s">
        <v>14</v>
      </c>
      <c r="D51" s="5" t="s">
        <v>92</v>
      </c>
      <c r="E51" s="29">
        <v>65.055374999999998</v>
      </c>
      <c r="F51" s="29">
        <v>58.549837499999995</v>
      </c>
      <c r="G51" s="29">
        <v>57.248729999999995</v>
      </c>
      <c r="H51" s="4">
        <v>5</v>
      </c>
      <c r="I51" s="5"/>
      <c r="J51" s="5"/>
    </row>
    <row r="52" spans="1:10" ht="19.5" customHeight="1" x14ac:dyDescent="0.25">
      <c r="A52" s="2">
        <v>49</v>
      </c>
      <c r="B52" s="3" t="s">
        <v>122</v>
      </c>
      <c r="C52" s="3" t="s">
        <v>14</v>
      </c>
      <c r="D52" s="3" t="s">
        <v>92</v>
      </c>
      <c r="E52" s="29">
        <v>68.520375000000001</v>
      </c>
      <c r="F52" s="29">
        <v>61.6683375</v>
      </c>
      <c r="G52" s="29">
        <v>60.297930000000001</v>
      </c>
      <c r="H52" s="4">
        <v>5</v>
      </c>
      <c r="I52" s="3"/>
      <c r="J52" s="3"/>
    </row>
    <row r="53" spans="1:10" ht="19.5" customHeight="1" x14ac:dyDescent="0.25">
      <c r="A53" s="2">
        <v>50</v>
      </c>
      <c r="B53" s="5" t="s">
        <v>123</v>
      </c>
      <c r="C53" s="5" t="s">
        <v>14</v>
      </c>
      <c r="D53" s="5" t="s">
        <v>92</v>
      </c>
      <c r="E53" s="29">
        <v>89.310375000000008</v>
      </c>
      <c r="F53" s="29">
        <v>80.379337500000005</v>
      </c>
      <c r="G53" s="29">
        <v>78.593130000000002</v>
      </c>
      <c r="H53" s="4">
        <v>5</v>
      </c>
      <c r="I53" s="5"/>
      <c r="J53" s="5"/>
    </row>
    <row r="54" spans="1:10" ht="19.5" customHeight="1" x14ac:dyDescent="0.25">
      <c r="A54" s="2">
        <v>51</v>
      </c>
      <c r="B54" s="3" t="s">
        <v>124</v>
      </c>
      <c r="C54" s="3" t="s">
        <v>14</v>
      </c>
      <c r="D54" s="3" t="s">
        <v>92</v>
      </c>
      <c r="E54" s="29">
        <v>143.71087500000002</v>
      </c>
      <c r="F54" s="29">
        <v>129.3397875</v>
      </c>
      <c r="G54" s="29">
        <v>126.46557000000001</v>
      </c>
      <c r="H54" s="4">
        <v>5</v>
      </c>
      <c r="I54" s="3"/>
      <c r="J54" s="3"/>
    </row>
    <row r="55" spans="1:10" ht="19.5" customHeight="1" x14ac:dyDescent="0.25">
      <c r="A55" s="2">
        <v>52</v>
      </c>
      <c r="B55" s="5" t="s">
        <v>125</v>
      </c>
      <c r="C55" s="5" t="s">
        <v>14</v>
      </c>
      <c r="D55" s="5" t="s">
        <v>92</v>
      </c>
      <c r="E55" s="29">
        <v>246.10162499999998</v>
      </c>
      <c r="F55" s="29">
        <v>221.49146249999998</v>
      </c>
      <c r="G55" s="29">
        <v>216.56942999999998</v>
      </c>
      <c r="H55" s="4">
        <v>5</v>
      </c>
      <c r="I55" s="5"/>
      <c r="J55" s="5"/>
    </row>
    <row r="56" spans="1:10" ht="19.5" customHeight="1" x14ac:dyDescent="0.25">
      <c r="A56" s="2">
        <v>53</v>
      </c>
      <c r="B56" s="3" t="s">
        <v>126</v>
      </c>
      <c r="C56" s="3" t="s">
        <v>14</v>
      </c>
      <c r="D56" s="3" t="s">
        <v>92</v>
      </c>
      <c r="E56" s="29">
        <v>180.18000000000004</v>
      </c>
      <c r="F56" s="29">
        <v>162.16200000000003</v>
      </c>
      <c r="G56" s="29">
        <v>158.55840000000003</v>
      </c>
      <c r="H56" s="4">
        <v>5</v>
      </c>
      <c r="I56" s="3"/>
      <c r="J56" s="3"/>
    </row>
    <row r="57" spans="1:10" ht="19.5" customHeight="1" x14ac:dyDescent="0.25">
      <c r="A57" s="2">
        <v>54</v>
      </c>
      <c r="B57" s="5" t="s">
        <v>127</v>
      </c>
      <c r="C57" s="5" t="s">
        <v>14</v>
      </c>
      <c r="D57" s="5" t="s">
        <v>92</v>
      </c>
      <c r="E57" s="29">
        <v>56.739374999999995</v>
      </c>
      <c r="F57" s="29">
        <v>51.065437499999994</v>
      </c>
      <c r="G57" s="29">
        <v>49.93065</v>
      </c>
      <c r="H57" s="4">
        <v>5</v>
      </c>
      <c r="I57" s="5"/>
      <c r="J57" s="5"/>
    </row>
    <row r="58" spans="1:10" ht="19.5" customHeight="1" x14ac:dyDescent="0.25">
      <c r="A58" s="2">
        <v>55</v>
      </c>
      <c r="B58" s="3" t="s">
        <v>128</v>
      </c>
      <c r="C58" s="3" t="s">
        <v>14</v>
      </c>
      <c r="D58" s="3" t="s">
        <v>92</v>
      </c>
      <c r="E58" s="29">
        <v>65.40187499999999</v>
      </c>
      <c r="F58" s="29">
        <v>58.861687499999988</v>
      </c>
      <c r="G58" s="29">
        <v>57.55364999999999</v>
      </c>
      <c r="H58" s="4">
        <v>5</v>
      </c>
      <c r="I58" s="3"/>
      <c r="J58" s="3"/>
    </row>
    <row r="59" spans="1:10" ht="19.5" customHeight="1" x14ac:dyDescent="0.25">
      <c r="A59" s="2">
        <v>56</v>
      </c>
      <c r="B59" s="5" t="s">
        <v>129</v>
      </c>
      <c r="C59" s="5" t="s">
        <v>14</v>
      </c>
      <c r="D59" s="5" t="s">
        <v>92</v>
      </c>
      <c r="E59" s="29">
        <v>65.40187499999999</v>
      </c>
      <c r="F59" s="29">
        <v>58.861687499999988</v>
      </c>
      <c r="G59" s="29">
        <v>57.55364999999999</v>
      </c>
      <c r="H59" s="4">
        <v>5</v>
      </c>
      <c r="I59" s="5"/>
      <c r="J59" s="5"/>
    </row>
    <row r="60" spans="1:10" ht="19.5" customHeight="1" x14ac:dyDescent="0.25">
      <c r="A60" s="2">
        <v>57</v>
      </c>
      <c r="B60" s="3" t="s">
        <v>130</v>
      </c>
      <c r="C60" s="3" t="s">
        <v>14</v>
      </c>
      <c r="D60" s="3" t="s">
        <v>92</v>
      </c>
      <c r="E60" s="29">
        <v>142.79264999999998</v>
      </c>
      <c r="F60" s="29">
        <v>128.51338499999997</v>
      </c>
      <c r="G60" s="29">
        <v>125.65753199999997</v>
      </c>
      <c r="H60" s="4">
        <v>5</v>
      </c>
      <c r="I60" s="3"/>
      <c r="J60" s="3"/>
    </row>
    <row r="61" spans="1:10" ht="19.5" customHeight="1" x14ac:dyDescent="0.25">
      <c r="A61" s="2">
        <v>58</v>
      </c>
      <c r="B61" s="5" t="s">
        <v>131</v>
      </c>
      <c r="C61" s="5" t="s">
        <v>14</v>
      </c>
      <c r="D61" s="5" t="s">
        <v>92</v>
      </c>
      <c r="E61" s="29">
        <v>93.65664000000001</v>
      </c>
      <c r="F61" s="29">
        <v>84.290976000000015</v>
      </c>
      <c r="G61" s="29">
        <v>82.417843200000007</v>
      </c>
      <c r="H61" s="4">
        <v>5</v>
      </c>
      <c r="I61" s="5"/>
      <c r="J61" s="5"/>
    </row>
    <row r="62" spans="1:10" ht="19.5" customHeight="1" x14ac:dyDescent="0.25">
      <c r="A62" s="2">
        <v>59</v>
      </c>
      <c r="B62" s="3" t="s">
        <v>132</v>
      </c>
      <c r="C62" s="3" t="s">
        <v>14</v>
      </c>
      <c r="D62" s="3" t="s">
        <v>92</v>
      </c>
      <c r="E62" s="29">
        <v>93.721319999999992</v>
      </c>
      <c r="F62" s="29">
        <v>84.349187999999998</v>
      </c>
      <c r="G62" s="29">
        <v>82.474761599999994</v>
      </c>
      <c r="H62" s="4">
        <v>5</v>
      </c>
      <c r="I62" s="3"/>
      <c r="J62" s="3"/>
    </row>
    <row r="63" spans="1:10" ht="19.5" customHeight="1" x14ac:dyDescent="0.25">
      <c r="A63" s="2">
        <v>60</v>
      </c>
      <c r="B63" s="5" t="s">
        <v>133</v>
      </c>
      <c r="C63" s="5" t="s">
        <v>14</v>
      </c>
      <c r="D63" s="5" t="s">
        <v>92</v>
      </c>
      <c r="E63" s="29">
        <v>69.40164</v>
      </c>
      <c r="F63" s="29">
        <v>62.461475999999998</v>
      </c>
      <c r="G63" s="29">
        <v>61.0734432</v>
      </c>
      <c r="H63" s="4">
        <v>5</v>
      </c>
      <c r="I63" s="5"/>
      <c r="J63" s="5"/>
    </row>
    <row r="64" spans="1:10" ht="19.5" customHeight="1" x14ac:dyDescent="0.25">
      <c r="A64" s="2">
        <v>61</v>
      </c>
      <c r="B64" s="3" t="s">
        <v>134</v>
      </c>
      <c r="C64" s="3" t="s">
        <v>14</v>
      </c>
      <c r="D64" s="3" t="s">
        <v>92</v>
      </c>
      <c r="E64" s="29">
        <v>82.337639999999993</v>
      </c>
      <c r="F64" s="29">
        <v>74.103876</v>
      </c>
      <c r="G64" s="29">
        <v>72.457123199999998</v>
      </c>
      <c r="H64" s="4">
        <v>5</v>
      </c>
      <c r="I64" s="3"/>
      <c r="J64" s="3"/>
    </row>
    <row r="65" spans="1:10" ht="19.5" customHeight="1" x14ac:dyDescent="0.25">
      <c r="A65" s="2">
        <v>62</v>
      </c>
      <c r="B65" s="5" t="s">
        <v>135</v>
      </c>
      <c r="C65" s="5" t="s">
        <v>14</v>
      </c>
      <c r="D65" s="5" t="s">
        <v>92</v>
      </c>
      <c r="E65" s="29">
        <v>93.009839999999997</v>
      </c>
      <c r="F65" s="29">
        <v>83.708855999999997</v>
      </c>
      <c r="G65" s="29">
        <v>81.8486592</v>
      </c>
      <c r="H65" s="4">
        <v>5</v>
      </c>
      <c r="I65" s="5"/>
      <c r="J65" s="5"/>
    </row>
    <row r="66" spans="1:10" ht="19.5" customHeight="1" x14ac:dyDescent="0.25">
      <c r="A66" s="2">
        <v>63</v>
      </c>
      <c r="B66" s="3" t="s">
        <v>136</v>
      </c>
      <c r="C66" s="3" t="s">
        <v>14</v>
      </c>
      <c r="D66" s="3" t="s">
        <v>92</v>
      </c>
      <c r="E66" s="29">
        <v>98.637</v>
      </c>
      <c r="F66" s="29">
        <v>88.773300000000006</v>
      </c>
      <c r="G66" s="29">
        <v>86.800560000000004</v>
      </c>
      <c r="H66" s="4">
        <v>5</v>
      </c>
      <c r="I66" s="3"/>
      <c r="J66" s="3"/>
    </row>
    <row r="67" spans="1:10" ht="19.5" customHeight="1" x14ac:dyDescent="0.25">
      <c r="A67" s="2">
        <v>64</v>
      </c>
      <c r="B67" s="5" t="s">
        <v>137</v>
      </c>
      <c r="C67" s="5" t="s">
        <v>14</v>
      </c>
      <c r="D67" s="5" t="s">
        <v>92</v>
      </c>
      <c r="E67" s="29">
        <v>109.956</v>
      </c>
      <c r="F67" s="29">
        <v>98.960400000000007</v>
      </c>
      <c r="G67" s="29">
        <v>96.761279999999999</v>
      </c>
      <c r="H67" s="4">
        <v>5</v>
      </c>
      <c r="I67" s="5"/>
      <c r="J67" s="5"/>
    </row>
    <row r="68" spans="1:10" ht="19.5" customHeight="1" x14ac:dyDescent="0.25">
      <c r="A68" s="2">
        <v>65</v>
      </c>
      <c r="B68" s="3" t="s">
        <v>138</v>
      </c>
      <c r="C68" s="3" t="s">
        <v>14</v>
      </c>
      <c r="D68" s="3" t="s">
        <v>92</v>
      </c>
      <c r="E68" s="29">
        <v>80.849999999999994</v>
      </c>
      <c r="F68" s="29">
        <v>72.765000000000001</v>
      </c>
      <c r="G68" s="29">
        <v>71.147999999999996</v>
      </c>
      <c r="H68" s="4">
        <v>5</v>
      </c>
      <c r="I68" s="3"/>
      <c r="J68" s="3"/>
    </row>
    <row r="69" spans="1:10" ht="19.5" customHeight="1" x14ac:dyDescent="0.25">
      <c r="A69" s="2">
        <v>66</v>
      </c>
      <c r="B69" s="5" t="s">
        <v>139</v>
      </c>
      <c r="C69" s="5" t="s">
        <v>14</v>
      </c>
      <c r="D69" s="5" t="s">
        <v>92</v>
      </c>
      <c r="E69" s="29">
        <v>79.233000000000004</v>
      </c>
      <c r="F69" s="29">
        <v>71.309700000000007</v>
      </c>
      <c r="G69" s="29">
        <v>69.725040000000007</v>
      </c>
      <c r="H69" s="4">
        <v>5</v>
      </c>
      <c r="I69" s="5"/>
      <c r="J69" s="5"/>
    </row>
    <row r="70" spans="1:10" ht="19.5" customHeight="1" x14ac:dyDescent="0.25">
      <c r="A70" s="2">
        <v>67</v>
      </c>
      <c r="B70" s="3" t="s">
        <v>140</v>
      </c>
      <c r="C70" s="3" t="s">
        <v>14</v>
      </c>
      <c r="D70" s="3" t="s">
        <v>92</v>
      </c>
      <c r="E70" s="29">
        <v>61.445999999999998</v>
      </c>
      <c r="F70" s="29">
        <v>55.301400000000001</v>
      </c>
      <c r="G70" s="29">
        <v>54.072479999999999</v>
      </c>
      <c r="H70" s="4">
        <v>5</v>
      </c>
      <c r="I70" s="3"/>
      <c r="J70" s="3"/>
    </row>
    <row r="71" spans="1:10" ht="19.5" customHeight="1" x14ac:dyDescent="0.25">
      <c r="A71" s="2">
        <v>68</v>
      </c>
      <c r="B71" s="5" t="s">
        <v>141</v>
      </c>
      <c r="C71" s="5" t="s">
        <v>14</v>
      </c>
      <c r="D71" s="5" t="s">
        <v>92</v>
      </c>
      <c r="E71" s="29">
        <v>77.616</v>
      </c>
      <c r="F71" s="29">
        <v>69.854399999999998</v>
      </c>
      <c r="G71" s="29">
        <v>68.302080000000004</v>
      </c>
      <c r="H71" s="4">
        <v>5</v>
      </c>
      <c r="I71" s="5"/>
      <c r="J71" s="5"/>
    </row>
    <row r="72" spans="1:10" ht="19.5" customHeight="1" x14ac:dyDescent="0.25">
      <c r="A72" s="2">
        <v>69</v>
      </c>
      <c r="B72" s="3" t="s">
        <v>141</v>
      </c>
      <c r="C72" s="3" t="s">
        <v>14</v>
      </c>
      <c r="D72" s="3" t="s">
        <v>92</v>
      </c>
      <c r="E72" s="29">
        <v>90.552000000000007</v>
      </c>
      <c r="F72" s="29">
        <v>81.496800000000007</v>
      </c>
      <c r="G72" s="29">
        <v>79.685760000000002</v>
      </c>
      <c r="H72" s="4">
        <v>5</v>
      </c>
      <c r="I72" s="3"/>
      <c r="J72" s="3"/>
    </row>
    <row r="73" spans="1:10" ht="19.5" customHeight="1" x14ac:dyDescent="0.25">
      <c r="A73" s="2">
        <v>70</v>
      </c>
      <c r="B73" s="5" t="s">
        <v>142</v>
      </c>
      <c r="C73" s="5" t="s">
        <v>14</v>
      </c>
      <c r="D73" s="5" t="s">
        <v>92</v>
      </c>
      <c r="E73" s="29">
        <v>97.02000000000001</v>
      </c>
      <c r="F73" s="29">
        <v>87.318000000000012</v>
      </c>
      <c r="G73" s="29">
        <v>85.377600000000015</v>
      </c>
      <c r="H73" s="4">
        <v>5</v>
      </c>
      <c r="I73" s="5"/>
      <c r="J73" s="5"/>
    </row>
    <row r="74" spans="1:10" ht="19.5" customHeight="1" x14ac:dyDescent="0.25">
      <c r="A74" s="2">
        <v>71</v>
      </c>
      <c r="B74" s="3" t="s">
        <v>143</v>
      </c>
      <c r="C74" s="3" t="s">
        <v>14</v>
      </c>
      <c r="D74" s="3" t="s">
        <v>92</v>
      </c>
      <c r="E74" s="29">
        <v>97.02000000000001</v>
      </c>
      <c r="F74" s="29">
        <v>87.318000000000012</v>
      </c>
      <c r="G74" s="29">
        <v>85.377600000000015</v>
      </c>
      <c r="H74" s="4">
        <v>5</v>
      </c>
      <c r="I74" s="3"/>
      <c r="J74" s="3"/>
    </row>
    <row r="75" spans="1:10" ht="19.5" customHeight="1" x14ac:dyDescent="0.25">
      <c r="A75" s="2">
        <v>72</v>
      </c>
      <c r="B75" s="3" t="s">
        <v>144</v>
      </c>
      <c r="C75" s="5" t="s">
        <v>14</v>
      </c>
      <c r="D75" s="5" t="s">
        <v>92</v>
      </c>
      <c r="E75" s="29">
        <v>186.59024999999997</v>
      </c>
      <c r="F75" s="29">
        <v>167.93122499999998</v>
      </c>
      <c r="G75" s="29">
        <v>164.19941999999998</v>
      </c>
      <c r="H75" s="4">
        <v>18</v>
      </c>
      <c r="I75" s="5"/>
      <c r="J75" s="5"/>
    </row>
    <row r="76" spans="1:10" ht="19.5" customHeight="1" x14ac:dyDescent="0.25">
      <c r="A76" s="2">
        <v>73</v>
      </c>
      <c r="B76" s="5" t="s">
        <v>145</v>
      </c>
      <c r="C76" s="3" t="s">
        <v>14</v>
      </c>
      <c r="D76" s="3" t="s">
        <v>92</v>
      </c>
      <c r="E76" s="29">
        <v>177.92774999999997</v>
      </c>
      <c r="F76" s="29">
        <v>160.13497499999997</v>
      </c>
      <c r="G76" s="29">
        <v>156.57641999999998</v>
      </c>
      <c r="H76" s="4">
        <v>18</v>
      </c>
      <c r="I76" s="3"/>
      <c r="J76" s="3"/>
    </row>
    <row r="77" spans="1:10" ht="19.5" customHeight="1" x14ac:dyDescent="0.25">
      <c r="A77" s="2">
        <v>74</v>
      </c>
      <c r="B77" s="3" t="s">
        <v>146</v>
      </c>
      <c r="C77" s="5" t="s">
        <v>14</v>
      </c>
      <c r="D77" s="5" t="s">
        <v>92</v>
      </c>
      <c r="E77" s="29">
        <v>576.40275000000008</v>
      </c>
      <c r="F77" s="29">
        <v>518.76247500000011</v>
      </c>
      <c r="G77" s="29">
        <v>507.23442000000006</v>
      </c>
      <c r="H77" s="4">
        <v>18</v>
      </c>
      <c r="I77" s="5"/>
      <c r="J77" s="5"/>
    </row>
    <row r="78" spans="1:10" ht="19.5" customHeight="1" x14ac:dyDescent="0.25">
      <c r="A78" s="2">
        <v>75</v>
      </c>
      <c r="B78" s="5" t="s">
        <v>147</v>
      </c>
      <c r="C78" s="3" t="s">
        <v>14</v>
      </c>
      <c r="D78" s="3" t="s">
        <v>92</v>
      </c>
      <c r="E78" s="29">
        <v>565.35806249999996</v>
      </c>
      <c r="F78" s="29">
        <v>508.82225624999995</v>
      </c>
      <c r="G78" s="29">
        <v>497.51509499999997</v>
      </c>
      <c r="H78" s="4">
        <v>18</v>
      </c>
      <c r="I78" s="3"/>
      <c r="J78" s="3"/>
    </row>
    <row r="79" spans="1:10" ht="19.5" customHeight="1" x14ac:dyDescent="0.25">
      <c r="A79" s="2">
        <v>76</v>
      </c>
      <c r="B79" s="3" t="s">
        <v>148</v>
      </c>
      <c r="C79" s="5" t="s">
        <v>14</v>
      </c>
      <c r="D79" s="5" t="s">
        <v>92</v>
      </c>
      <c r="E79" s="29">
        <v>442.89630000000005</v>
      </c>
      <c r="F79" s="29">
        <v>398.60667000000007</v>
      </c>
      <c r="G79" s="29">
        <v>389.74874400000004</v>
      </c>
      <c r="H79" s="4">
        <v>18</v>
      </c>
      <c r="I79" s="5"/>
      <c r="J79" s="5"/>
    </row>
    <row r="80" spans="1:10" ht="19.5" customHeight="1" x14ac:dyDescent="0.25">
      <c r="A80" s="2">
        <v>77</v>
      </c>
      <c r="B80" s="3" t="s">
        <v>149</v>
      </c>
      <c r="C80" s="3" t="s">
        <v>14</v>
      </c>
      <c r="D80" s="3" t="s">
        <v>92</v>
      </c>
      <c r="E80" s="29">
        <v>424.80322499999994</v>
      </c>
      <c r="F80" s="29">
        <v>382.32290249999994</v>
      </c>
      <c r="G80" s="29">
        <v>373.82683799999995</v>
      </c>
      <c r="H80" s="4">
        <v>18</v>
      </c>
      <c r="I80" s="3"/>
      <c r="J80" s="3"/>
    </row>
    <row r="81" spans="1:10" ht="19.5" customHeight="1" x14ac:dyDescent="0.25">
      <c r="A81" s="2">
        <v>78</v>
      </c>
      <c r="B81" s="5" t="s">
        <v>150</v>
      </c>
      <c r="C81" s="5" t="s">
        <v>14</v>
      </c>
      <c r="D81" s="5" t="s">
        <v>92</v>
      </c>
      <c r="E81" s="29">
        <v>455.95934999999997</v>
      </c>
      <c r="F81" s="29">
        <v>410.36341499999997</v>
      </c>
      <c r="G81" s="29">
        <v>401.24422799999996</v>
      </c>
      <c r="H81" s="4">
        <v>18</v>
      </c>
      <c r="I81" s="5"/>
      <c r="J81" s="5"/>
    </row>
    <row r="82" spans="1:10" ht="19.5" customHeight="1" x14ac:dyDescent="0.25">
      <c r="A82" s="2">
        <v>79</v>
      </c>
      <c r="B82" s="3" t="s">
        <v>151</v>
      </c>
      <c r="C82" s="3" t="s">
        <v>14</v>
      </c>
      <c r="D82" s="3" t="s">
        <v>92</v>
      </c>
      <c r="E82" s="29">
        <v>533.67930000000001</v>
      </c>
      <c r="F82" s="29">
        <v>480.31137000000001</v>
      </c>
      <c r="G82" s="29">
        <v>469.63778400000001</v>
      </c>
      <c r="H82" s="4">
        <v>18</v>
      </c>
      <c r="I82" s="3"/>
      <c r="J82" s="3"/>
    </row>
    <row r="83" spans="1:10" ht="19.5" customHeight="1" x14ac:dyDescent="0.25">
      <c r="A83" s="2">
        <v>80</v>
      </c>
      <c r="B83" s="5" t="s">
        <v>152</v>
      </c>
      <c r="C83" s="5" t="s">
        <v>14</v>
      </c>
      <c r="D83" s="5" t="s">
        <v>92</v>
      </c>
      <c r="E83" s="29">
        <v>172.64362500000001</v>
      </c>
      <c r="F83" s="29">
        <v>155.37926250000001</v>
      </c>
      <c r="G83" s="29">
        <v>151.92639000000003</v>
      </c>
      <c r="H83" s="4">
        <v>18</v>
      </c>
      <c r="I83" s="5"/>
      <c r="J83" s="5"/>
    </row>
    <row r="84" spans="1:10" ht="19.5" customHeight="1" x14ac:dyDescent="0.25">
      <c r="A84" s="2">
        <v>81</v>
      </c>
      <c r="B84" s="3" t="s">
        <v>153</v>
      </c>
      <c r="C84" s="3" t="s">
        <v>14</v>
      </c>
      <c r="D84" s="3" t="s">
        <v>92</v>
      </c>
      <c r="E84" s="29">
        <v>147.31447499999999</v>
      </c>
      <c r="F84" s="29">
        <v>132.58302749999999</v>
      </c>
      <c r="G84" s="29">
        <v>129.63673799999998</v>
      </c>
      <c r="H84" s="4">
        <v>18</v>
      </c>
      <c r="I84" s="3"/>
      <c r="J84" s="3"/>
    </row>
    <row r="85" spans="1:10" ht="19.5" customHeight="1" x14ac:dyDescent="0.25">
      <c r="A85" s="2">
        <v>82</v>
      </c>
      <c r="B85" s="5" t="s">
        <v>154</v>
      </c>
      <c r="C85" s="5" t="s">
        <v>14</v>
      </c>
      <c r="D85" s="5" t="s">
        <v>92</v>
      </c>
      <c r="E85" s="29">
        <v>143.48565000000002</v>
      </c>
      <c r="F85" s="29">
        <v>129.13708500000001</v>
      </c>
      <c r="G85" s="29">
        <v>126.26737200000002</v>
      </c>
      <c r="H85" s="4">
        <v>18</v>
      </c>
      <c r="I85" s="5"/>
      <c r="J85" s="5"/>
    </row>
    <row r="86" spans="1:10" ht="19.5" customHeight="1" x14ac:dyDescent="0.25">
      <c r="A86" s="2">
        <v>83</v>
      </c>
      <c r="B86" s="3"/>
      <c r="C86" s="3"/>
      <c r="D86" s="3"/>
      <c r="E86" s="29"/>
      <c r="F86" s="29"/>
      <c r="G86" s="29"/>
      <c r="H86" s="4"/>
      <c r="I86" s="3"/>
      <c r="J86" s="3"/>
    </row>
    <row r="87" spans="1:10" ht="19.5" customHeight="1" x14ac:dyDescent="0.25">
      <c r="A87" s="2">
        <v>84</v>
      </c>
      <c r="B87" s="5" t="s">
        <v>155</v>
      </c>
      <c r="C87" s="5" t="s">
        <v>14</v>
      </c>
      <c r="D87" s="5" t="s">
        <v>92</v>
      </c>
      <c r="E87" s="29">
        <v>80.041499999999999</v>
      </c>
      <c r="F87" s="29">
        <v>72.037350000000004</v>
      </c>
      <c r="G87" s="29">
        <v>70.436520000000002</v>
      </c>
      <c r="H87" s="4">
        <v>5</v>
      </c>
      <c r="I87" s="5"/>
      <c r="J87" s="5"/>
    </row>
    <row r="88" spans="1:10" ht="19.5" customHeight="1" x14ac:dyDescent="0.25">
      <c r="A88" s="2">
        <v>85</v>
      </c>
      <c r="B88" s="3" t="s">
        <v>156</v>
      </c>
      <c r="C88" s="3" t="s">
        <v>14</v>
      </c>
      <c r="D88" s="3" t="s">
        <v>92</v>
      </c>
      <c r="E88" s="29">
        <v>80.041499999999999</v>
      </c>
      <c r="F88" s="29">
        <v>72.037350000000004</v>
      </c>
      <c r="G88" s="29">
        <v>70.436520000000002</v>
      </c>
      <c r="H88" s="4">
        <v>5</v>
      </c>
      <c r="I88" s="3"/>
      <c r="J88" s="3"/>
    </row>
    <row r="89" spans="1:10" ht="19.5" customHeight="1" x14ac:dyDescent="0.25">
      <c r="A89" s="2">
        <v>86</v>
      </c>
      <c r="B89" s="5" t="s">
        <v>157</v>
      </c>
      <c r="C89" s="5" t="s">
        <v>14</v>
      </c>
      <c r="D89" s="5" t="s">
        <v>92</v>
      </c>
      <c r="E89" s="29">
        <v>333.12509999999997</v>
      </c>
      <c r="F89" s="29">
        <v>299.81259</v>
      </c>
      <c r="G89" s="29">
        <v>293.15008799999998</v>
      </c>
      <c r="H89" s="4">
        <v>5</v>
      </c>
      <c r="I89" s="5"/>
      <c r="J89" s="5"/>
    </row>
    <row r="90" spans="1:10" ht="19.5" customHeight="1" x14ac:dyDescent="0.25">
      <c r="A90" s="2">
        <v>87</v>
      </c>
      <c r="B90" s="3" t="s">
        <v>158</v>
      </c>
      <c r="C90" s="3" t="s">
        <v>14</v>
      </c>
      <c r="D90" s="3" t="s">
        <v>92</v>
      </c>
      <c r="E90" s="29">
        <v>333.12509999999997</v>
      </c>
      <c r="F90" s="29">
        <v>299.81259</v>
      </c>
      <c r="G90" s="29">
        <v>293.15008799999998</v>
      </c>
      <c r="H90" s="4">
        <v>5</v>
      </c>
      <c r="I90" s="3"/>
      <c r="J90" s="3"/>
    </row>
    <row r="91" spans="1:10" ht="19.5" customHeight="1" x14ac:dyDescent="0.25">
      <c r="A91" s="2">
        <v>88</v>
      </c>
      <c r="B91" s="5" t="s">
        <v>159</v>
      </c>
      <c r="C91" s="5" t="s">
        <v>14</v>
      </c>
      <c r="D91" s="5" t="s">
        <v>92</v>
      </c>
      <c r="E91" s="29">
        <v>333.12509999999997</v>
      </c>
      <c r="F91" s="29">
        <v>299.81259</v>
      </c>
      <c r="G91" s="29">
        <v>293.15008799999998</v>
      </c>
      <c r="H91" s="4">
        <v>5</v>
      </c>
      <c r="I91" s="5"/>
      <c r="J91" s="5"/>
    </row>
    <row r="92" spans="1:10" ht="19.5" customHeight="1" x14ac:dyDescent="0.25">
      <c r="A92" s="2">
        <v>89</v>
      </c>
      <c r="B92" s="3" t="s">
        <v>159</v>
      </c>
      <c r="C92" s="3" t="s">
        <v>14</v>
      </c>
      <c r="D92" s="3" t="s">
        <v>92</v>
      </c>
      <c r="E92" s="29">
        <v>333.12509999999997</v>
      </c>
      <c r="F92" s="29">
        <v>299.81259</v>
      </c>
      <c r="G92" s="29">
        <v>293.15008799999998</v>
      </c>
      <c r="H92" s="4">
        <v>5</v>
      </c>
      <c r="I92" s="3"/>
      <c r="J92" s="3"/>
    </row>
    <row r="93" spans="1:10" ht="19.5" customHeight="1" x14ac:dyDescent="0.25">
      <c r="A93" s="2">
        <v>90</v>
      </c>
      <c r="B93" s="5" t="s">
        <v>160</v>
      </c>
      <c r="C93" s="5" t="s">
        <v>14</v>
      </c>
      <c r="D93" s="5" t="s">
        <v>92</v>
      </c>
      <c r="E93" s="29">
        <v>476.4375</v>
      </c>
      <c r="F93" s="29">
        <v>428.79374999999999</v>
      </c>
      <c r="G93" s="29">
        <v>419.26499999999999</v>
      </c>
      <c r="H93" s="4">
        <v>5</v>
      </c>
      <c r="I93" s="5"/>
      <c r="J93" s="5"/>
    </row>
    <row r="94" spans="1:10" ht="19.5" customHeight="1" x14ac:dyDescent="0.25">
      <c r="A94" s="2">
        <v>91</v>
      </c>
      <c r="B94" s="3" t="s">
        <v>161</v>
      </c>
      <c r="C94" s="3" t="s">
        <v>14</v>
      </c>
      <c r="D94" s="3" t="s">
        <v>92</v>
      </c>
      <c r="E94" s="29">
        <v>73.371375</v>
      </c>
      <c r="F94" s="29">
        <v>66.034237500000003</v>
      </c>
      <c r="G94" s="29">
        <v>64.566810000000004</v>
      </c>
      <c r="H94" s="4">
        <v>5</v>
      </c>
      <c r="I94" s="3"/>
      <c r="J94" s="3"/>
    </row>
    <row r="95" spans="1:10" ht="19.5" customHeight="1" x14ac:dyDescent="0.25">
      <c r="A95" s="2">
        <v>92</v>
      </c>
      <c r="B95" s="5" t="s">
        <v>161</v>
      </c>
      <c r="C95" s="5" t="s">
        <v>14</v>
      </c>
      <c r="D95" s="5" t="s">
        <v>92</v>
      </c>
      <c r="E95" s="29">
        <v>129.966375</v>
      </c>
      <c r="F95" s="29">
        <v>116.96973749999999</v>
      </c>
      <c r="G95" s="29">
        <v>114.37040999999999</v>
      </c>
      <c r="H95" s="4">
        <v>5</v>
      </c>
      <c r="I95" s="5"/>
      <c r="J95" s="5"/>
    </row>
    <row r="96" spans="1:10" ht="19.5" customHeight="1" x14ac:dyDescent="0.25">
      <c r="A96" s="2">
        <v>93</v>
      </c>
      <c r="B96" s="3" t="s">
        <v>162</v>
      </c>
      <c r="C96" s="3" t="s">
        <v>14</v>
      </c>
      <c r="D96" s="3" t="s">
        <v>92</v>
      </c>
      <c r="E96" s="29">
        <v>73.371375</v>
      </c>
      <c r="F96" s="29">
        <v>66.034237500000003</v>
      </c>
      <c r="G96" s="29">
        <v>64.566810000000004</v>
      </c>
      <c r="H96" s="4">
        <v>5</v>
      </c>
      <c r="I96" s="3"/>
      <c r="J96" s="3"/>
    </row>
    <row r="97" spans="1:10" ht="19.5" customHeight="1" x14ac:dyDescent="0.25">
      <c r="A97" s="2">
        <v>94</v>
      </c>
      <c r="B97" s="5" t="s">
        <v>163</v>
      </c>
      <c r="C97" s="5" t="s">
        <v>14</v>
      </c>
      <c r="D97" s="5" t="s">
        <v>92</v>
      </c>
      <c r="E97" s="29">
        <v>129.966375</v>
      </c>
      <c r="F97" s="29">
        <v>116.96973749999999</v>
      </c>
      <c r="G97" s="29">
        <v>114.37040999999999</v>
      </c>
      <c r="H97" s="4">
        <v>5</v>
      </c>
      <c r="I97" s="5"/>
      <c r="J97" s="5"/>
    </row>
    <row r="98" spans="1:10" ht="19.5" customHeight="1" x14ac:dyDescent="0.25">
      <c r="A98" s="2">
        <v>95</v>
      </c>
      <c r="B98" s="3"/>
      <c r="C98" s="3"/>
      <c r="D98" s="3"/>
      <c r="E98" s="29"/>
      <c r="F98" s="29"/>
      <c r="G98" s="29"/>
      <c r="H98" s="4"/>
      <c r="I98" s="3"/>
      <c r="J98" s="3"/>
    </row>
    <row r="99" spans="1:10" ht="19.5" customHeight="1" x14ac:dyDescent="0.25">
      <c r="A99" s="2">
        <v>96</v>
      </c>
      <c r="B99" s="5"/>
      <c r="C99" s="5"/>
      <c r="D99" s="5"/>
      <c r="E99" s="29"/>
      <c r="F99" s="29"/>
      <c r="G99" s="29"/>
      <c r="H99" s="4"/>
      <c r="I99" s="5"/>
      <c r="J99" s="5"/>
    </row>
    <row r="100" spans="1:10" ht="19.5" customHeight="1" x14ac:dyDescent="0.25">
      <c r="A100" s="2">
        <v>97</v>
      </c>
      <c r="B100" s="3"/>
      <c r="C100" s="3"/>
      <c r="D100" s="3"/>
      <c r="E100" s="29"/>
      <c r="F100" s="29"/>
      <c r="G100" s="29"/>
      <c r="H100" s="4"/>
      <c r="I100" s="3"/>
      <c r="J100" s="3"/>
    </row>
    <row r="101" spans="1:10" ht="19.5" customHeight="1" x14ac:dyDescent="0.25">
      <c r="A101" s="2">
        <v>98</v>
      </c>
      <c r="B101" s="5"/>
      <c r="C101" s="5"/>
      <c r="D101" s="5"/>
      <c r="E101" s="29"/>
      <c r="F101" s="29"/>
      <c r="G101" s="29"/>
      <c r="H101" s="4"/>
      <c r="I101" s="5"/>
      <c r="J101" s="5"/>
    </row>
    <row r="102" spans="1:10" ht="19.5" customHeight="1" x14ac:dyDescent="0.25">
      <c r="A102" s="2">
        <v>99</v>
      </c>
      <c r="B102" s="3"/>
      <c r="C102" s="3"/>
      <c r="D102" s="3"/>
      <c r="E102" s="29"/>
      <c r="F102" s="29"/>
      <c r="G102" s="29"/>
      <c r="H102" s="4"/>
      <c r="I102" s="3"/>
      <c r="J102" s="3"/>
    </row>
    <row r="103" spans="1:10" ht="19.5" customHeight="1" x14ac:dyDescent="0.25">
      <c r="A103" s="2">
        <v>100</v>
      </c>
      <c r="B103" s="5"/>
      <c r="C103" s="5"/>
      <c r="D103" s="5"/>
      <c r="E103" s="29"/>
      <c r="F103" s="29"/>
      <c r="G103" s="29"/>
      <c r="H103" s="4"/>
      <c r="I103" s="5"/>
      <c r="J103" s="5"/>
    </row>
    <row r="104" spans="1:10" ht="19.5" customHeight="1" x14ac:dyDescent="0.25">
      <c r="A104" s="2">
        <v>101</v>
      </c>
      <c r="B104" s="3"/>
      <c r="C104" s="3"/>
      <c r="D104" s="3"/>
      <c r="E104" s="29"/>
      <c r="F104" s="29"/>
      <c r="G104" s="29"/>
      <c r="H104" s="4"/>
      <c r="I104" s="3"/>
      <c r="J104" s="3"/>
    </row>
    <row r="105" spans="1:10" ht="19.5" customHeight="1" x14ac:dyDescent="0.25">
      <c r="A105" s="2">
        <v>102</v>
      </c>
      <c r="B105" s="5"/>
      <c r="C105" s="5"/>
      <c r="D105" s="5"/>
      <c r="E105" s="29"/>
      <c r="F105" s="29"/>
      <c r="G105" s="29"/>
      <c r="H105" s="4"/>
      <c r="I105" s="5"/>
      <c r="J105" s="5"/>
    </row>
    <row r="106" spans="1:10" ht="19.5" customHeight="1" x14ac:dyDescent="0.25">
      <c r="A106" s="2">
        <v>103</v>
      </c>
      <c r="B106" s="3"/>
      <c r="C106" s="3"/>
      <c r="D106" s="3"/>
      <c r="E106" s="29"/>
      <c r="F106" s="29"/>
      <c r="G106" s="29"/>
      <c r="H106" s="4"/>
      <c r="I106" s="3"/>
      <c r="J106" s="3"/>
    </row>
    <row r="107" spans="1:10" ht="19.5" customHeight="1" x14ac:dyDescent="0.25">
      <c r="A107" s="2">
        <v>104</v>
      </c>
      <c r="B107" s="5"/>
      <c r="C107" s="5"/>
      <c r="D107" s="5"/>
      <c r="E107" s="29"/>
      <c r="F107" s="29"/>
      <c r="G107" s="29"/>
      <c r="H107" s="4"/>
      <c r="I107" s="5"/>
      <c r="J107" s="5"/>
    </row>
    <row r="108" spans="1:10" ht="19.5" customHeight="1" x14ac:dyDescent="0.25">
      <c r="A108" s="2">
        <v>105</v>
      </c>
      <c r="B108" s="3"/>
      <c r="C108" s="3"/>
      <c r="D108" s="3"/>
      <c r="E108" s="29"/>
      <c r="F108" s="29"/>
      <c r="G108" s="29"/>
      <c r="H108" s="4"/>
      <c r="I108" s="3"/>
      <c r="J108" s="3"/>
    </row>
    <row r="109" spans="1:10" ht="19.5" customHeight="1" x14ac:dyDescent="0.25">
      <c r="A109" s="2">
        <v>106</v>
      </c>
      <c r="B109" s="5"/>
      <c r="C109" s="5"/>
      <c r="D109" s="5"/>
      <c r="E109" s="29"/>
      <c r="F109" s="29"/>
      <c r="G109" s="29"/>
      <c r="H109" s="4"/>
      <c r="I109" s="5"/>
      <c r="J109" s="5"/>
    </row>
    <row r="110" spans="1:10" ht="19.5" customHeight="1" x14ac:dyDescent="0.25">
      <c r="A110" s="2">
        <v>107</v>
      </c>
      <c r="B110" s="3"/>
      <c r="C110" s="3"/>
      <c r="D110" s="3"/>
      <c r="E110" s="29"/>
      <c r="F110" s="29"/>
      <c r="G110" s="29"/>
      <c r="H110" s="4"/>
      <c r="I110" s="3"/>
      <c r="J110" s="3"/>
    </row>
    <row r="111" spans="1:10" ht="19.5" customHeight="1" x14ac:dyDescent="0.25">
      <c r="A111" s="2">
        <v>108</v>
      </c>
      <c r="B111" s="5"/>
      <c r="C111" s="5"/>
      <c r="D111" s="5"/>
      <c r="E111" s="29"/>
      <c r="F111" s="29"/>
      <c r="G111" s="29"/>
      <c r="H111" s="4"/>
      <c r="I111" s="5"/>
      <c r="J111" s="5"/>
    </row>
    <row r="112" spans="1:10" ht="19.5" customHeight="1" x14ac:dyDescent="0.25">
      <c r="A112" s="2">
        <v>109</v>
      </c>
      <c r="B112" s="3"/>
      <c r="C112" s="3"/>
      <c r="D112" s="3"/>
      <c r="E112" s="29"/>
      <c r="F112" s="29"/>
      <c r="G112" s="29"/>
      <c r="H112" s="4"/>
      <c r="I112" s="3"/>
      <c r="J112" s="3"/>
    </row>
    <row r="113" spans="1:10" ht="19.5" customHeight="1" x14ac:dyDescent="0.25">
      <c r="A113" s="2">
        <v>110</v>
      </c>
      <c r="B113" s="5"/>
      <c r="C113" s="5"/>
      <c r="D113" s="5"/>
      <c r="E113" s="29"/>
      <c r="F113" s="29"/>
      <c r="G113" s="29"/>
      <c r="H113" s="4"/>
      <c r="I113" s="5"/>
      <c r="J113" s="5"/>
    </row>
    <row r="114" spans="1:10" ht="19.5" customHeight="1" x14ac:dyDescent="0.25">
      <c r="A114" s="2">
        <v>111</v>
      </c>
      <c r="B114" s="3"/>
      <c r="C114" s="3"/>
      <c r="D114" s="3"/>
      <c r="E114" s="29"/>
      <c r="F114" s="29"/>
      <c r="G114" s="29"/>
      <c r="H114" s="4"/>
      <c r="I114" s="3"/>
      <c r="J114" s="3"/>
    </row>
    <row r="115" spans="1:10" ht="19.5" customHeight="1" x14ac:dyDescent="0.25">
      <c r="A115" s="2">
        <v>112</v>
      </c>
      <c r="B115" s="5"/>
      <c r="C115" s="5"/>
      <c r="D115" s="5"/>
      <c r="E115" s="29"/>
      <c r="F115" s="29"/>
      <c r="G115" s="29"/>
      <c r="H115" s="4"/>
      <c r="I115" s="5"/>
      <c r="J115" s="5"/>
    </row>
    <row r="116" spans="1:10" ht="19.5" customHeight="1" x14ac:dyDescent="0.25">
      <c r="A116" s="2">
        <v>113</v>
      </c>
      <c r="B116" s="3"/>
      <c r="C116" s="3"/>
      <c r="D116" s="3"/>
      <c r="E116" s="29"/>
      <c r="F116" s="29"/>
      <c r="G116" s="29"/>
      <c r="H116" s="4"/>
      <c r="I116" s="3"/>
      <c r="J116" s="3"/>
    </row>
    <row r="117" spans="1:10" ht="19.5" customHeight="1" x14ac:dyDescent="0.25">
      <c r="A117" s="2">
        <v>114</v>
      </c>
      <c r="B117" s="5"/>
      <c r="C117" s="5"/>
      <c r="D117" s="5"/>
      <c r="E117" s="29"/>
      <c r="F117" s="29"/>
      <c r="G117" s="29"/>
      <c r="H117" s="4"/>
      <c r="I117" s="5"/>
      <c r="J117" s="5"/>
    </row>
    <row r="118" spans="1:10" ht="19.5" customHeight="1" x14ac:dyDescent="0.25">
      <c r="A118" s="2">
        <v>115</v>
      </c>
      <c r="B118" s="3"/>
      <c r="C118" s="3"/>
      <c r="D118" s="3"/>
      <c r="E118" s="29"/>
      <c r="F118" s="29"/>
      <c r="G118" s="29"/>
      <c r="H118" s="4"/>
      <c r="I118" s="3"/>
      <c r="J118" s="3"/>
    </row>
    <row r="119" spans="1:10" ht="19.5" customHeight="1" x14ac:dyDescent="0.25">
      <c r="A119" s="2">
        <v>116</v>
      </c>
      <c r="B119" s="5"/>
      <c r="C119" s="5"/>
      <c r="D119" s="5"/>
      <c r="E119" s="29"/>
      <c r="F119" s="29"/>
      <c r="G119" s="29"/>
      <c r="H119" s="4"/>
      <c r="I119" s="5"/>
      <c r="J119" s="5"/>
    </row>
    <row r="120" spans="1:10" ht="19.5" customHeight="1" x14ac:dyDescent="0.25">
      <c r="A120" s="2">
        <v>117</v>
      </c>
      <c r="B120" s="3"/>
      <c r="C120" s="3"/>
      <c r="D120" s="3"/>
      <c r="E120" s="29"/>
      <c r="F120" s="29"/>
      <c r="G120" s="29"/>
      <c r="H120" s="4"/>
      <c r="I120" s="3"/>
      <c r="J120" s="3"/>
    </row>
    <row r="121" spans="1:10" ht="19.5" customHeight="1" x14ac:dyDescent="0.25">
      <c r="A121" s="2">
        <v>118</v>
      </c>
      <c r="B121" s="5"/>
      <c r="C121" s="5"/>
      <c r="D121" s="5"/>
      <c r="E121" s="29"/>
      <c r="F121" s="29"/>
      <c r="G121" s="29"/>
      <c r="H121" s="4"/>
      <c r="I121" s="5"/>
      <c r="J121" s="5"/>
    </row>
    <row r="122" spans="1:10" ht="19.5" customHeight="1" x14ac:dyDescent="0.25">
      <c r="A122" s="2">
        <v>119</v>
      </c>
      <c r="B122" s="3"/>
      <c r="C122" s="3"/>
      <c r="D122" s="3"/>
      <c r="E122" s="29"/>
      <c r="F122" s="29"/>
      <c r="G122" s="29"/>
      <c r="H122" s="4"/>
      <c r="I122" s="3"/>
      <c r="J122" s="3"/>
    </row>
    <row r="123" spans="1:10" ht="19.5" customHeight="1" x14ac:dyDescent="0.25">
      <c r="A123" s="2">
        <v>120</v>
      </c>
      <c r="B123" s="5"/>
      <c r="C123" s="5"/>
      <c r="D123" s="5"/>
      <c r="E123" s="29"/>
      <c r="F123" s="29"/>
      <c r="G123" s="29"/>
      <c r="H123" s="4"/>
      <c r="I123" s="5"/>
      <c r="J123" s="5"/>
    </row>
    <row r="124" spans="1:10" ht="19.5" customHeight="1" x14ac:dyDescent="0.25">
      <c r="A124" s="2">
        <v>121</v>
      </c>
      <c r="B124" s="3"/>
      <c r="C124" s="3"/>
      <c r="D124" s="3"/>
      <c r="E124" s="29"/>
      <c r="F124" s="29"/>
      <c r="G124" s="29"/>
      <c r="H124" s="4"/>
      <c r="I124" s="3"/>
      <c r="J124" s="3"/>
    </row>
    <row r="125" spans="1:10" ht="19.5" customHeight="1" x14ac:dyDescent="0.25">
      <c r="A125" s="2">
        <v>122</v>
      </c>
      <c r="B125" s="5"/>
      <c r="C125" s="5"/>
      <c r="D125" s="5"/>
      <c r="E125" s="29"/>
      <c r="F125" s="29"/>
      <c r="G125" s="29"/>
      <c r="H125" s="4"/>
      <c r="I125" s="5"/>
      <c r="J125" s="5"/>
    </row>
    <row r="126" spans="1:10" ht="19.5" customHeight="1" x14ac:dyDescent="0.25">
      <c r="A126" s="2">
        <v>123</v>
      </c>
      <c r="B126" s="3"/>
      <c r="C126" s="3"/>
      <c r="D126" s="3"/>
      <c r="E126" s="29"/>
      <c r="F126" s="29"/>
      <c r="G126" s="29"/>
      <c r="H126" s="4"/>
      <c r="I126" s="3"/>
      <c r="J126" s="3"/>
    </row>
    <row r="127" spans="1:10" ht="19.5" customHeight="1" x14ac:dyDescent="0.25">
      <c r="A127" s="2">
        <v>124</v>
      </c>
      <c r="B127" s="5"/>
      <c r="C127" s="5"/>
      <c r="D127" s="5"/>
      <c r="E127" s="29"/>
      <c r="F127" s="29"/>
      <c r="G127" s="29"/>
      <c r="H127" s="4"/>
      <c r="I127" s="5"/>
      <c r="J127" s="5"/>
    </row>
    <row r="128" spans="1:10" ht="19.5" customHeight="1" x14ac:dyDescent="0.25">
      <c r="A128" s="2">
        <v>125</v>
      </c>
      <c r="B128" s="3"/>
      <c r="C128" s="3"/>
      <c r="D128" s="3"/>
      <c r="E128" s="29"/>
      <c r="F128" s="29"/>
      <c r="G128" s="29"/>
      <c r="H128" s="4"/>
      <c r="I128" s="3"/>
      <c r="J128" s="3"/>
    </row>
    <row r="129" spans="1:10" ht="19.5" customHeight="1" x14ac:dyDescent="0.25">
      <c r="A129" s="2">
        <v>126</v>
      </c>
      <c r="B129" s="5"/>
      <c r="C129" s="5"/>
      <c r="D129" s="5"/>
      <c r="E129" s="29"/>
      <c r="F129" s="29"/>
      <c r="G129" s="29"/>
      <c r="H129" s="4"/>
      <c r="I129" s="5"/>
      <c r="J129" s="5"/>
    </row>
    <row r="130" spans="1:10" ht="19.5" customHeight="1" x14ac:dyDescent="0.25">
      <c r="A130" s="2">
        <v>127</v>
      </c>
      <c r="B130" s="3"/>
      <c r="C130" s="3"/>
      <c r="D130" s="3"/>
      <c r="E130" s="29"/>
      <c r="F130" s="29"/>
      <c r="G130" s="29"/>
      <c r="H130" s="4"/>
      <c r="I130" s="3"/>
      <c r="J130" s="3"/>
    </row>
    <row r="131" spans="1:10" ht="19.5" customHeight="1" x14ac:dyDescent="0.25">
      <c r="A131" s="2">
        <v>128</v>
      </c>
      <c r="B131" s="5"/>
      <c r="C131" s="5"/>
      <c r="D131" s="5"/>
      <c r="E131" s="29"/>
      <c r="F131" s="29"/>
      <c r="G131" s="29"/>
      <c r="H131" s="4"/>
      <c r="I131" s="5"/>
      <c r="J131" s="5"/>
    </row>
    <row r="132" spans="1:10" ht="19.5" customHeight="1" x14ac:dyDescent="0.25">
      <c r="A132" s="2">
        <v>129</v>
      </c>
      <c r="B132" s="3"/>
      <c r="C132" s="3"/>
      <c r="D132" s="3"/>
      <c r="E132" s="29"/>
      <c r="F132" s="29"/>
      <c r="G132" s="29"/>
      <c r="H132" s="4"/>
      <c r="I132" s="3"/>
      <c r="J132" s="3"/>
    </row>
    <row r="133" spans="1:10" ht="19.5" customHeight="1" x14ac:dyDescent="0.25">
      <c r="A133" s="2">
        <v>130</v>
      </c>
      <c r="B133" s="5"/>
      <c r="C133" s="5"/>
      <c r="D133" s="5"/>
      <c r="E133" s="29"/>
      <c r="F133" s="29"/>
      <c r="G133" s="29"/>
      <c r="H133" s="4"/>
      <c r="I133" s="5"/>
      <c r="J133" s="5"/>
    </row>
    <row r="134" spans="1:10" ht="19.5" customHeight="1" x14ac:dyDescent="0.25">
      <c r="A134" s="2">
        <v>131</v>
      </c>
      <c r="B134" s="3"/>
      <c r="C134" s="3"/>
      <c r="D134" s="3"/>
      <c r="E134" s="29"/>
      <c r="F134" s="29"/>
      <c r="G134" s="29"/>
      <c r="H134" s="4"/>
      <c r="I134" s="3"/>
      <c r="J134" s="3"/>
    </row>
    <row r="135" spans="1:10" ht="19.5" customHeight="1" x14ac:dyDescent="0.25">
      <c r="A135" s="2">
        <v>132</v>
      </c>
      <c r="B135" s="5"/>
      <c r="C135" s="5"/>
      <c r="D135" s="5"/>
      <c r="E135" s="29"/>
      <c r="F135" s="29"/>
      <c r="G135" s="29"/>
      <c r="H135" s="4"/>
      <c r="I135" s="5"/>
      <c r="J135" s="5"/>
    </row>
    <row r="136" spans="1:10" ht="19.5" customHeight="1" x14ac:dyDescent="0.25">
      <c r="A136" s="2">
        <v>133</v>
      </c>
      <c r="B136" s="3"/>
      <c r="C136" s="3"/>
      <c r="D136" s="3"/>
      <c r="E136" s="29"/>
      <c r="F136" s="29"/>
      <c r="G136" s="29"/>
      <c r="H136" s="4"/>
      <c r="I136" s="3"/>
      <c r="J136" s="3"/>
    </row>
    <row r="137" spans="1:10" ht="19.5" customHeight="1" x14ac:dyDescent="0.25">
      <c r="A137" s="2">
        <v>134</v>
      </c>
      <c r="B137" s="5"/>
      <c r="C137" s="5"/>
      <c r="D137" s="5"/>
      <c r="E137" s="29"/>
      <c r="F137" s="29"/>
      <c r="G137" s="29"/>
      <c r="H137" s="4"/>
      <c r="I137" s="5"/>
      <c r="J137" s="5"/>
    </row>
    <row r="138" spans="1:10" ht="19.5" customHeight="1" x14ac:dyDescent="0.25">
      <c r="A138" s="2">
        <v>135</v>
      </c>
      <c r="B138" s="3"/>
      <c r="C138" s="3"/>
      <c r="D138" s="3"/>
      <c r="E138" s="29"/>
      <c r="F138" s="29"/>
      <c r="G138" s="29"/>
      <c r="H138" s="4"/>
      <c r="I138" s="3"/>
      <c r="J138" s="3"/>
    </row>
    <row r="139" spans="1:10" ht="19.5" customHeight="1" x14ac:dyDescent="0.25">
      <c r="A139" s="2">
        <v>136</v>
      </c>
      <c r="B139" s="5"/>
      <c r="C139" s="5"/>
      <c r="D139" s="5"/>
      <c r="E139" s="29"/>
      <c r="F139" s="29"/>
      <c r="G139" s="29"/>
      <c r="H139" s="4"/>
      <c r="I139" s="5"/>
      <c r="J139" s="5"/>
    </row>
    <row r="140" spans="1:10" ht="19.5" customHeight="1" x14ac:dyDescent="0.25">
      <c r="A140" s="2">
        <v>137</v>
      </c>
      <c r="B140" s="3"/>
      <c r="C140" s="3"/>
      <c r="D140" s="3"/>
      <c r="E140" s="29"/>
      <c r="F140" s="29"/>
      <c r="G140" s="29"/>
      <c r="H140" s="4"/>
      <c r="I140" s="3"/>
      <c r="J140" s="3"/>
    </row>
    <row r="141" spans="1:10" ht="19.5" customHeight="1" x14ac:dyDescent="0.25">
      <c r="A141" s="2">
        <v>138</v>
      </c>
      <c r="B141" s="5"/>
      <c r="C141" s="5"/>
      <c r="D141" s="5"/>
      <c r="E141" s="29"/>
      <c r="F141" s="29"/>
      <c r="G141" s="29"/>
      <c r="H141" s="4"/>
      <c r="I141" s="5"/>
      <c r="J141" s="5"/>
    </row>
    <row r="142" spans="1:10" ht="19.5" customHeight="1" x14ac:dyDescent="0.25">
      <c r="A142" s="2">
        <v>139</v>
      </c>
      <c r="B142" s="3"/>
      <c r="C142" s="3"/>
      <c r="D142" s="3"/>
      <c r="E142" s="29"/>
      <c r="F142" s="29"/>
      <c r="G142" s="29"/>
      <c r="H142" s="4"/>
      <c r="I142" s="3"/>
      <c r="J142" s="3"/>
    </row>
    <row r="143" spans="1:10" ht="19.5" customHeight="1" x14ac:dyDescent="0.25">
      <c r="A143" s="2">
        <v>140</v>
      </c>
      <c r="B143" s="5"/>
      <c r="C143" s="5"/>
      <c r="D143" s="5"/>
      <c r="E143" s="29"/>
      <c r="F143" s="29"/>
      <c r="G143" s="29"/>
      <c r="H143" s="4"/>
      <c r="I143" s="5"/>
      <c r="J143" s="5"/>
    </row>
    <row r="144" spans="1:10" ht="19.5" customHeight="1" x14ac:dyDescent="0.25">
      <c r="A144" s="2">
        <v>141</v>
      </c>
      <c r="B144" s="3"/>
      <c r="C144" s="3"/>
      <c r="D144" s="3"/>
      <c r="E144" s="29"/>
      <c r="F144" s="29"/>
      <c r="G144" s="29"/>
      <c r="H144" s="4"/>
      <c r="I144" s="3"/>
      <c r="J144" s="3"/>
    </row>
    <row r="145" spans="1:10" ht="19.5" customHeight="1" x14ac:dyDescent="0.25">
      <c r="A145" s="2">
        <v>142</v>
      </c>
      <c r="B145" s="5"/>
      <c r="C145" s="5"/>
      <c r="D145" s="5"/>
      <c r="E145" s="29"/>
      <c r="F145" s="29"/>
      <c r="G145" s="29"/>
      <c r="H145" s="4"/>
      <c r="I145" s="5"/>
      <c r="J145" s="5"/>
    </row>
    <row r="146" spans="1:10" ht="19.5" customHeight="1" x14ac:dyDescent="0.25">
      <c r="A146" s="2">
        <v>143</v>
      </c>
      <c r="B146" s="3"/>
      <c r="C146" s="3"/>
      <c r="D146" s="3"/>
      <c r="E146" s="29"/>
      <c r="F146" s="29"/>
      <c r="G146" s="29"/>
      <c r="H146" s="4"/>
      <c r="I146" s="3"/>
      <c r="J146" s="3"/>
    </row>
    <row r="147" spans="1:10" ht="19.5" customHeight="1" x14ac:dyDescent="0.25">
      <c r="A147" s="2">
        <v>144</v>
      </c>
      <c r="B147" s="5"/>
      <c r="C147" s="5"/>
      <c r="D147" s="5"/>
      <c r="E147" s="29"/>
      <c r="F147" s="29"/>
      <c r="G147" s="29"/>
      <c r="H147" s="4"/>
      <c r="I147" s="5"/>
      <c r="J147" s="5"/>
    </row>
    <row r="148" spans="1:10" ht="19.5" customHeight="1" x14ac:dyDescent="0.25">
      <c r="A148" s="2">
        <v>145</v>
      </c>
      <c r="B148" s="3"/>
      <c r="C148" s="3"/>
      <c r="D148" s="3"/>
      <c r="E148" s="29"/>
      <c r="F148" s="29"/>
      <c r="G148" s="29"/>
      <c r="H148" s="4"/>
      <c r="I148" s="3"/>
      <c r="J148" s="3"/>
    </row>
    <row r="149" spans="1:10" ht="19.5" customHeight="1" x14ac:dyDescent="0.25">
      <c r="A149" s="2">
        <v>146</v>
      </c>
      <c r="B149" s="5"/>
      <c r="C149" s="5"/>
      <c r="D149" s="5"/>
      <c r="E149" s="29"/>
      <c r="F149" s="29"/>
      <c r="G149" s="29"/>
      <c r="H149" s="4"/>
      <c r="I149" s="5"/>
      <c r="J149" s="5"/>
    </row>
    <row r="150" spans="1:10" ht="19.5" customHeight="1" x14ac:dyDescent="0.25">
      <c r="A150" s="2">
        <v>147</v>
      </c>
      <c r="B150" s="3"/>
      <c r="C150" s="3"/>
      <c r="D150" s="3"/>
      <c r="E150" s="29"/>
      <c r="F150" s="29"/>
      <c r="G150" s="29"/>
      <c r="H150" s="4"/>
      <c r="I150" s="3"/>
      <c r="J150" s="3"/>
    </row>
    <row r="151" spans="1:10" ht="19.5" customHeight="1" x14ac:dyDescent="0.25">
      <c r="A151" s="2">
        <v>148</v>
      </c>
      <c r="B151" s="5"/>
      <c r="C151" s="5"/>
      <c r="D151" s="5"/>
      <c r="E151" s="29"/>
      <c r="F151" s="29"/>
      <c r="G151" s="29"/>
      <c r="H151" s="4"/>
      <c r="I151" s="5"/>
      <c r="J151" s="5"/>
    </row>
    <row r="152" spans="1:10" ht="19.5" customHeight="1" x14ac:dyDescent="0.25">
      <c r="A152" s="2">
        <v>149</v>
      </c>
      <c r="B152" s="3"/>
      <c r="C152" s="3"/>
      <c r="D152" s="3"/>
      <c r="E152" s="29"/>
      <c r="F152" s="29"/>
      <c r="G152" s="29"/>
      <c r="H152" s="4"/>
      <c r="I152" s="3"/>
      <c r="J152" s="3"/>
    </row>
    <row r="153" spans="1:10" ht="19.5" customHeight="1" x14ac:dyDescent="0.25">
      <c r="A153" s="2">
        <v>150</v>
      </c>
      <c r="B153" s="5"/>
      <c r="C153" s="5"/>
      <c r="D153" s="5"/>
      <c r="E153" s="29"/>
      <c r="F153" s="29"/>
      <c r="G153" s="29"/>
      <c r="H153" s="4"/>
      <c r="I153" s="5"/>
      <c r="J153" s="5"/>
    </row>
    <row r="154" spans="1:10" ht="19.5" customHeight="1" x14ac:dyDescent="0.25">
      <c r="A154" s="2">
        <v>151</v>
      </c>
      <c r="B154" s="3"/>
      <c r="C154" s="3"/>
      <c r="D154" s="3"/>
      <c r="E154" s="29"/>
      <c r="F154" s="29"/>
      <c r="G154" s="29"/>
      <c r="H154" s="4"/>
      <c r="I154" s="3"/>
      <c r="J154" s="3"/>
    </row>
    <row r="155" spans="1:10" ht="19.5" customHeight="1" x14ac:dyDescent="0.25">
      <c r="A155" s="2">
        <v>152</v>
      </c>
      <c r="B155" s="5"/>
      <c r="C155" s="5"/>
      <c r="D155" s="5"/>
      <c r="E155" s="29"/>
      <c r="F155" s="29"/>
      <c r="G155" s="29"/>
      <c r="H155" s="4"/>
      <c r="I155" s="5"/>
      <c r="J155" s="5"/>
    </row>
    <row r="156" spans="1:10" ht="19.5" customHeight="1" x14ac:dyDescent="0.25">
      <c r="A156" s="2">
        <v>153</v>
      </c>
      <c r="B156" s="3"/>
      <c r="C156" s="3"/>
      <c r="D156" s="3"/>
      <c r="E156" s="29"/>
      <c r="F156" s="29"/>
      <c r="G156" s="29"/>
      <c r="H156" s="4"/>
      <c r="I156" s="3"/>
      <c r="J156" s="3"/>
    </row>
    <row r="157" spans="1:10" ht="19.5" customHeight="1" x14ac:dyDescent="0.25">
      <c r="A157" s="2">
        <v>154</v>
      </c>
      <c r="B157" s="5"/>
      <c r="C157" s="5"/>
      <c r="D157" s="5"/>
      <c r="E157" s="29"/>
      <c r="F157" s="29"/>
      <c r="G157" s="29"/>
      <c r="H157" s="4"/>
      <c r="I157" s="5"/>
      <c r="J157" s="5"/>
    </row>
    <row r="158" spans="1:10" ht="19.5" customHeight="1" x14ac:dyDescent="0.25">
      <c r="A158" s="2">
        <v>155</v>
      </c>
      <c r="B158" s="3"/>
      <c r="C158" s="3"/>
      <c r="D158" s="3"/>
      <c r="E158" s="29"/>
      <c r="F158" s="29"/>
      <c r="G158" s="29"/>
      <c r="H158" s="4"/>
      <c r="I158" s="3"/>
      <c r="J158" s="3"/>
    </row>
    <row r="159" spans="1:10" ht="19.5" customHeight="1" x14ac:dyDescent="0.25">
      <c r="A159" s="2">
        <v>156</v>
      </c>
      <c r="B159" s="5"/>
      <c r="C159" s="5"/>
      <c r="D159" s="5"/>
      <c r="E159" s="29"/>
      <c r="F159" s="29"/>
      <c r="G159" s="29"/>
      <c r="H159" s="4"/>
      <c r="I159" s="5"/>
      <c r="J159" s="5"/>
    </row>
    <row r="160" spans="1:10" ht="19.5" customHeight="1" x14ac:dyDescent="0.25">
      <c r="A160" s="2">
        <v>157</v>
      </c>
      <c r="B160" s="3"/>
      <c r="C160" s="3"/>
      <c r="D160" s="3"/>
      <c r="E160" s="29"/>
      <c r="F160" s="29"/>
      <c r="G160" s="29"/>
      <c r="H160" s="4"/>
      <c r="I160" s="3"/>
      <c r="J160" s="3"/>
    </row>
    <row r="161" spans="1:10" ht="19.5" customHeight="1" x14ac:dyDescent="0.25">
      <c r="A161" s="2">
        <v>158</v>
      </c>
      <c r="B161" s="5"/>
      <c r="C161" s="5"/>
      <c r="D161" s="5"/>
      <c r="E161" s="29"/>
      <c r="F161" s="29"/>
      <c r="G161" s="29"/>
      <c r="H161" s="4"/>
      <c r="I161" s="5"/>
      <c r="J161" s="5"/>
    </row>
    <row r="162" spans="1:10" ht="19.5" customHeight="1" x14ac:dyDescent="0.25">
      <c r="A162" s="2">
        <v>159</v>
      </c>
      <c r="B162" s="3"/>
      <c r="C162" s="3"/>
      <c r="D162" s="3"/>
      <c r="E162" s="29"/>
      <c r="F162" s="29"/>
      <c r="G162" s="29"/>
      <c r="H162" s="4"/>
      <c r="I162" s="3"/>
      <c r="J162" s="3"/>
    </row>
    <row r="163" spans="1:10" ht="19.5" customHeight="1" x14ac:dyDescent="0.25">
      <c r="A163" s="2">
        <v>160</v>
      </c>
      <c r="B163" s="5"/>
      <c r="C163" s="5"/>
      <c r="D163" s="5"/>
      <c r="E163" s="29"/>
      <c r="F163" s="29"/>
      <c r="G163" s="29"/>
      <c r="H163" s="4"/>
      <c r="I163" s="5"/>
      <c r="J163" s="5"/>
    </row>
    <row r="164" spans="1:10" ht="19.5" customHeight="1" x14ac:dyDescent="0.25">
      <c r="A164" s="2">
        <v>161</v>
      </c>
      <c r="B164" s="3"/>
      <c r="C164" s="3"/>
      <c r="D164" s="3"/>
      <c r="E164" s="29"/>
      <c r="F164" s="29"/>
      <c r="G164" s="29"/>
      <c r="H164" s="4"/>
      <c r="I164" s="3"/>
      <c r="J164" s="3"/>
    </row>
    <row r="165" spans="1:10" ht="19.5" customHeight="1" x14ac:dyDescent="0.25">
      <c r="A165" s="2">
        <v>162</v>
      </c>
      <c r="B165" s="5"/>
      <c r="C165" s="5"/>
      <c r="D165" s="5"/>
      <c r="E165" s="29"/>
      <c r="F165" s="29"/>
      <c r="G165" s="29"/>
      <c r="H165" s="4"/>
      <c r="I165" s="5"/>
      <c r="J165" s="5"/>
    </row>
    <row r="166" spans="1:10" ht="19.5" customHeight="1" x14ac:dyDescent="0.25">
      <c r="A166" s="2">
        <v>163</v>
      </c>
      <c r="B166" s="3"/>
      <c r="C166" s="3"/>
      <c r="D166" s="3"/>
      <c r="E166" s="29"/>
      <c r="F166" s="29"/>
      <c r="G166" s="29"/>
      <c r="H166" s="4"/>
      <c r="I166" s="3"/>
      <c r="J166" s="3"/>
    </row>
    <row r="167" spans="1:10" ht="19.5" customHeight="1" x14ac:dyDescent="0.25">
      <c r="A167" s="2">
        <v>164</v>
      </c>
      <c r="B167" s="5"/>
      <c r="C167" s="5"/>
      <c r="D167" s="5"/>
      <c r="E167" s="29"/>
      <c r="F167" s="29"/>
      <c r="G167" s="29"/>
      <c r="H167" s="4"/>
      <c r="I167" s="5"/>
      <c r="J167" s="5"/>
    </row>
    <row r="168" spans="1:10" ht="19.5" customHeight="1" x14ac:dyDescent="0.25">
      <c r="A168" s="2">
        <v>165</v>
      </c>
      <c r="B168" s="3"/>
      <c r="C168" s="3"/>
      <c r="D168" s="3"/>
      <c r="E168" s="29"/>
      <c r="F168" s="29"/>
      <c r="G168" s="29"/>
      <c r="H168" s="4"/>
      <c r="I168" s="3"/>
      <c r="J168" s="3"/>
    </row>
    <row r="169" spans="1:10" ht="19.5" customHeight="1" x14ac:dyDescent="0.25">
      <c r="A169" s="2">
        <v>166</v>
      </c>
      <c r="B169" s="5"/>
      <c r="C169" s="5"/>
      <c r="D169" s="5"/>
      <c r="E169" s="29"/>
      <c r="F169" s="29"/>
      <c r="G169" s="29"/>
      <c r="H169" s="4"/>
      <c r="I169" s="5"/>
      <c r="J169" s="5"/>
    </row>
    <row r="170" spans="1:10" ht="19.5" customHeight="1" x14ac:dyDescent="0.25">
      <c r="A170" s="2">
        <v>167</v>
      </c>
      <c r="B170" s="3"/>
      <c r="C170" s="3"/>
      <c r="D170" s="3"/>
      <c r="E170" s="29"/>
      <c r="F170" s="29"/>
      <c r="G170" s="29"/>
      <c r="H170" s="4"/>
      <c r="I170" s="3"/>
      <c r="J170" s="3"/>
    </row>
    <row r="171" spans="1:10" ht="19.5" customHeight="1" x14ac:dyDescent="0.25">
      <c r="A171" s="2">
        <v>168</v>
      </c>
      <c r="B171" s="5"/>
      <c r="C171" s="5"/>
      <c r="D171" s="5"/>
      <c r="E171" s="29"/>
      <c r="F171" s="29"/>
      <c r="G171" s="29"/>
      <c r="H171" s="4"/>
      <c r="I171" s="5"/>
      <c r="J171" s="5"/>
    </row>
    <row r="172" spans="1:10" ht="19.5" customHeight="1" x14ac:dyDescent="0.25">
      <c r="A172" s="2">
        <v>169</v>
      </c>
      <c r="B172" s="3"/>
      <c r="C172" s="3"/>
      <c r="D172" s="3"/>
      <c r="E172" s="29"/>
      <c r="F172" s="29"/>
      <c r="G172" s="29"/>
      <c r="H172" s="4"/>
      <c r="I172" s="3"/>
      <c r="J172" s="3"/>
    </row>
    <row r="173" spans="1:10" ht="19.5" customHeight="1" x14ac:dyDescent="0.25">
      <c r="A173" s="2">
        <v>170</v>
      </c>
      <c r="B173" s="5"/>
      <c r="C173" s="5"/>
      <c r="D173" s="5"/>
      <c r="E173" s="29"/>
      <c r="F173" s="29"/>
      <c r="G173" s="29"/>
      <c r="H173" s="4"/>
      <c r="I173" s="5"/>
      <c r="J173" s="5"/>
    </row>
    <row r="174" spans="1:10" ht="19.5" customHeight="1" x14ac:dyDescent="0.25">
      <c r="A174" s="2">
        <v>171</v>
      </c>
      <c r="B174" s="3"/>
      <c r="C174" s="3"/>
      <c r="D174" s="3"/>
      <c r="E174" s="29"/>
      <c r="F174" s="29"/>
      <c r="G174" s="29"/>
      <c r="H174" s="4"/>
      <c r="I174" s="3"/>
      <c r="J174" s="3"/>
    </row>
    <row r="175" spans="1:10" ht="19.5" customHeight="1" x14ac:dyDescent="0.25">
      <c r="A175" s="2">
        <v>172</v>
      </c>
      <c r="B175" s="5"/>
      <c r="C175" s="5"/>
      <c r="D175" s="5"/>
      <c r="E175" s="29"/>
      <c r="F175" s="29"/>
      <c r="G175" s="29"/>
      <c r="H175" s="4"/>
      <c r="I175" s="5"/>
      <c r="J175" s="5"/>
    </row>
    <row r="176" spans="1:10" ht="19.5" customHeight="1" x14ac:dyDescent="0.25">
      <c r="A176" s="2">
        <v>173</v>
      </c>
      <c r="B176" s="3"/>
      <c r="C176" s="3"/>
      <c r="D176" s="3"/>
      <c r="E176" s="29"/>
      <c r="F176" s="29"/>
      <c r="G176" s="29"/>
      <c r="H176" s="4"/>
      <c r="I176" s="3"/>
      <c r="J176" s="3"/>
    </row>
    <row r="177" spans="1:10" ht="19.5" customHeight="1" x14ac:dyDescent="0.25">
      <c r="A177" s="2">
        <v>174</v>
      </c>
      <c r="B177" s="5"/>
      <c r="C177" s="5"/>
      <c r="D177" s="5"/>
      <c r="E177" s="29"/>
      <c r="F177" s="29"/>
      <c r="G177" s="29"/>
      <c r="H177" s="4"/>
      <c r="I177" s="5"/>
      <c r="J177" s="5"/>
    </row>
    <row r="178" spans="1:10" ht="19.5" customHeight="1" x14ac:dyDescent="0.25">
      <c r="A178" s="2">
        <v>175</v>
      </c>
      <c r="B178" s="3"/>
      <c r="C178" s="3"/>
      <c r="D178" s="3"/>
      <c r="E178" s="29"/>
      <c r="F178" s="29"/>
      <c r="G178" s="29"/>
      <c r="H178" s="4"/>
      <c r="I178" s="3"/>
      <c r="J178" s="3"/>
    </row>
    <row r="179" spans="1:10" ht="19.5" customHeight="1" x14ac:dyDescent="0.25">
      <c r="A179" s="2">
        <v>176</v>
      </c>
      <c r="B179" s="5"/>
      <c r="C179" s="5"/>
      <c r="D179" s="5"/>
      <c r="E179" s="29"/>
      <c r="F179" s="29"/>
      <c r="G179" s="29"/>
      <c r="H179" s="4"/>
      <c r="I179" s="5"/>
      <c r="J179" s="5"/>
    </row>
    <row r="180" spans="1:10" ht="19.5" customHeight="1" x14ac:dyDescent="0.25">
      <c r="A180" s="2">
        <v>177</v>
      </c>
      <c r="B180" s="3"/>
      <c r="C180" s="3"/>
      <c r="D180" s="3"/>
      <c r="E180" s="29"/>
      <c r="F180" s="29"/>
      <c r="G180" s="29"/>
      <c r="H180" s="4"/>
      <c r="I180" s="3"/>
      <c r="J180" s="3"/>
    </row>
    <row r="181" spans="1:10" ht="19.5" customHeight="1" x14ac:dyDescent="0.25">
      <c r="A181" s="2">
        <v>178</v>
      </c>
      <c r="B181" s="5"/>
      <c r="C181" s="5"/>
      <c r="D181" s="5"/>
      <c r="E181" s="29"/>
      <c r="F181" s="29"/>
      <c r="G181" s="29"/>
      <c r="H181" s="4"/>
      <c r="I181" s="5"/>
      <c r="J181" s="5"/>
    </row>
    <row r="182" spans="1:10" ht="19.5" customHeight="1" x14ac:dyDescent="0.25">
      <c r="A182" s="2">
        <v>179</v>
      </c>
      <c r="B182" s="3"/>
      <c r="C182" s="3"/>
      <c r="D182" s="3"/>
      <c r="E182" s="29"/>
      <c r="F182" s="29"/>
      <c r="G182" s="29"/>
      <c r="H182" s="4"/>
      <c r="I182" s="3"/>
      <c r="J182" s="3"/>
    </row>
    <row r="183" spans="1:10" ht="19.5" customHeight="1" x14ac:dyDescent="0.25">
      <c r="A183" s="2">
        <v>180</v>
      </c>
      <c r="B183" s="5"/>
      <c r="C183" s="5"/>
      <c r="D183" s="5"/>
      <c r="E183" s="29"/>
      <c r="F183" s="29"/>
      <c r="G183" s="29"/>
      <c r="H183" s="4"/>
      <c r="I183" s="5"/>
      <c r="J183" s="5"/>
    </row>
    <row r="184" spans="1:10" ht="19.5" customHeight="1" x14ac:dyDescent="0.25">
      <c r="A184" s="2">
        <v>181</v>
      </c>
      <c r="B184" s="3"/>
      <c r="C184" s="3"/>
      <c r="D184" s="3"/>
      <c r="E184" s="29"/>
      <c r="F184" s="29"/>
      <c r="G184" s="29"/>
      <c r="H184" s="4"/>
      <c r="I184" s="3"/>
      <c r="J184" s="3"/>
    </row>
    <row r="185" spans="1:10" ht="19.5" customHeight="1" x14ac:dyDescent="0.25">
      <c r="A185" s="2">
        <v>182</v>
      </c>
      <c r="B185" s="5"/>
      <c r="C185" s="5"/>
      <c r="D185" s="5"/>
      <c r="E185" s="29"/>
      <c r="F185" s="29"/>
      <c r="G185" s="29"/>
      <c r="H185" s="4"/>
      <c r="I185" s="5"/>
      <c r="J185" s="5"/>
    </row>
    <row r="186" spans="1:10" ht="19.5" customHeight="1" x14ac:dyDescent="0.25">
      <c r="A186" s="2">
        <v>183</v>
      </c>
      <c r="B186" s="3"/>
      <c r="C186" s="3"/>
      <c r="D186" s="3"/>
      <c r="E186" s="29"/>
      <c r="F186" s="29"/>
      <c r="G186" s="29"/>
      <c r="H186" s="4"/>
      <c r="I186" s="3"/>
      <c r="J186" s="3"/>
    </row>
    <row r="187" spans="1:10" ht="19.5" customHeight="1" x14ac:dyDescent="0.25">
      <c r="A187" s="2">
        <v>184</v>
      </c>
      <c r="B187" s="5"/>
      <c r="C187" s="5"/>
      <c r="D187" s="5"/>
      <c r="E187" s="29"/>
      <c r="F187" s="29"/>
      <c r="G187" s="29"/>
      <c r="H187" s="4"/>
      <c r="I187" s="5"/>
      <c r="J187" s="5"/>
    </row>
    <row r="188" spans="1:10" ht="19.5" customHeight="1" x14ac:dyDescent="0.25">
      <c r="A188" s="2">
        <v>185</v>
      </c>
      <c r="B188" s="3"/>
      <c r="C188" s="3"/>
      <c r="D188" s="3"/>
      <c r="E188" s="29"/>
      <c r="F188" s="29"/>
      <c r="G188" s="29"/>
      <c r="H188" s="4"/>
      <c r="I188" s="3"/>
      <c r="J188" s="3"/>
    </row>
    <row r="189" spans="1:10" ht="19.5" customHeight="1" x14ac:dyDescent="0.25">
      <c r="A189" s="2">
        <v>186</v>
      </c>
      <c r="B189" s="5"/>
      <c r="C189" s="5"/>
      <c r="D189" s="5"/>
      <c r="E189" s="29"/>
      <c r="F189" s="29"/>
      <c r="G189" s="29"/>
      <c r="H189" s="4"/>
      <c r="I189" s="5"/>
      <c r="J189" s="5"/>
    </row>
    <row r="190" spans="1:10" ht="19.5" customHeight="1" x14ac:dyDescent="0.25">
      <c r="A190" s="2">
        <v>187</v>
      </c>
      <c r="B190" s="3"/>
      <c r="C190" s="3"/>
      <c r="D190" s="3"/>
      <c r="E190" s="29"/>
      <c r="F190" s="29"/>
      <c r="G190" s="29"/>
      <c r="H190" s="4"/>
      <c r="I190" s="3"/>
      <c r="J190" s="3"/>
    </row>
    <row r="191" spans="1:10" ht="19.5" customHeight="1" x14ac:dyDescent="0.25">
      <c r="A191" s="2">
        <v>188</v>
      </c>
      <c r="B191" s="5"/>
      <c r="C191" s="5"/>
      <c r="D191" s="5"/>
      <c r="E191" s="29"/>
      <c r="F191" s="29"/>
      <c r="G191" s="29"/>
      <c r="H191" s="4"/>
      <c r="I191" s="5"/>
      <c r="J191" s="5"/>
    </row>
    <row r="192" spans="1:10" ht="19.5" customHeight="1" x14ac:dyDescent="0.25">
      <c r="A192" s="2">
        <v>189</v>
      </c>
      <c r="B192" s="3"/>
      <c r="C192" s="3"/>
      <c r="D192" s="3"/>
      <c r="E192" s="29"/>
      <c r="F192" s="29"/>
      <c r="G192" s="29"/>
      <c r="H192" s="4"/>
      <c r="I192" s="3"/>
      <c r="J192" s="3"/>
    </row>
    <row r="193" spans="1:10" ht="19.5" customHeight="1" x14ac:dyDescent="0.25">
      <c r="A193" s="2">
        <v>190</v>
      </c>
      <c r="B193" s="5"/>
      <c r="C193" s="5"/>
      <c r="D193" s="5"/>
      <c r="E193" s="29"/>
      <c r="F193" s="29"/>
      <c r="G193" s="29"/>
      <c r="H193" s="4"/>
      <c r="I193" s="5"/>
      <c r="J193" s="5"/>
    </row>
    <row r="194" spans="1:10" ht="19.5" customHeight="1" x14ac:dyDescent="0.25">
      <c r="A194" s="2">
        <v>191</v>
      </c>
      <c r="B194" s="3"/>
      <c r="C194" s="3"/>
      <c r="D194" s="3"/>
      <c r="E194" s="4"/>
      <c r="F194" s="4"/>
      <c r="G194" s="4"/>
      <c r="H194" s="4"/>
      <c r="I194" s="3"/>
      <c r="J194" s="3"/>
    </row>
    <row r="195" spans="1:10" ht="19.5" customHeight="1" x14ac:dyDescent="0.25">
      <c r="A195" s="2">
        <v>192</v>
      </c>
      <c r="B195" s="5"/>
      <c r="C195" s="5"/>
      <c r="D195" s="5"/>
      <c r="E195" s="4"/>
      <c r="F195" s="4"/>
      <c r="G195" s="4"/>
      <c r="H195" s="4"/>
      <c r="I195" s="5"/>
      <c r="J195" s="5"/>
    </row>
    <row r="196" spans="1:10" ht="19.5" customHeight="1" x14ac:dyDescent="0.25">
      <c r="A196" s="2">
        <v>193</v>
      </c>
      <c r="B196" s="3"/>
      <c r="C196" s="3"/>
      <c r="D196" s="3"/>
      <c r="E196" s="4"/>
      <c r="F196" s="4"/>
      <c r="G196" s="4"/>
      <c r="H196" s="4"/>
      <c r="I196" s="3"/>
      <c r="J196" s="3"/>
    </row>
    <row r="197" spans="1:10" ht="19.5" customHeight="1" x14ac:dyDescent="0.25">
      <c r="A197" s="2">
        <v>194</v>
      </c>
      <c r="B197" s="5"/>
      <c r="C197" s="5"/>
      <c r="D197" s="5"/>
      <c r="E197" s="4"/>
      <c r="F197" s="4"/>
      <c r="G197" s="4"/>
      <c r="H197" s="4"/>
      <c r="I197" s="5"/>
      <c r="J197" s="5"/>
    </row>
    <row r="198" spans="1:10" ht="19.5" customHeight="1" x14ac:dyDescent="0.25">
      <c r="A198" s="2">
        <v>195</v>
      </c>
      <c r="B198" s="3"/>
      <c r="C198" s="3"/>
      <c r="D198" s="3"/>
      <c r="E198" s="4"/>
      <c r="F198" s="4"/>
      <c r="G198" s="4"/>
      <c r="H198" s="4"/>
      <c r="I198" s="3"/>
      <c r="J198" s="3"/>
    </row>
    <row r="199" spans="1:10" ht="19.5" customHeight="1" x14ac:dyDescent="0.25">
      <c r="A199" s="2">
        <v>196</v>
      </c>
      <c r="B199" s="5"/>
      <c r="C199" s="5"/>
      <c r="D199" s="5"/>
      <c r="E199" s="4"/>
      <c r="F199" s="4"/>
      <c r="G199" s="4"/>
      <c r="H199" s="4"/>
      <c r="I199" s="5"/>
      <c r="J199" s="5"/>
    </row>
    <row r="200" spans="1:10" ht="19.5" customHeight="1" x14ac:dyDescent="0.25">
      <c r="A200" s="2">
        <v>197</v>
      </c>
      <c r="B200" s="3"/>
      <c r="C200" s="3"/>
      <c r="D200" s="3"/>
      <c r="E200" s="4"/>
      <c r="F200" s="4"/>
      <c r="G200" s="4"/>
      <c r="H200" s="4"/>
      <c r="I200" s="3"/>
      <c r="J200" s="3"/>
    </row>
    <row r="201" spans="1:10" ht="19.5" customHeight="1" x14ac:dyDescent="0.25">
      <c r="A201" s="2">
        <v>198</v>
      </c>
      <c r="B201" s="5"/>
      <c r="C201" s="5"/>
      <c r="D201" s="5"/>
      <c r="E201" s="4"/>
      <c r="F201" s="4"/>
      <c r="G201" s="4"/>
      <c r="H201" s="4"/>
      <c r="I201" s="5"/>
      <c r="J201" s="5"/>
    </row>
    <row r="202" spans="1:10" ht="19.5" customHeight="1" x14ac:dyDescent="0.25">
      <c r="A202" s="2">
        <v>199</v>
      </c>
      <c r="B202" s="3"/>
      <c r="C202" s="3"/>
      <c r="D202" s="3"/>
      <c r="E202" s="4"/>
      <c r="F202" s="4"/>
      <c r="G202" s="4"/>
      <c r="H202" s="4"/>
      <c r="I202" s="3"/>
      <c r="J202" s="3"/>
    </row>
    <row r="203" spans="1:10" ht="19.5" customHeight="1" x14ac:dyDescent="0.25">
      <c r="A203" s="2">
        <v>200</v>
      </c>
      <c r="B203" s="5"/>
      <c r="C203" s="5"/>
      <c r="D203" s="5"/>
      <c r="E203" s="4"/>
      <c r="F203" s="4"/>
      <c r="G203" s="4"/>
      <c r="H203" s="4"/>
      <c r="I203" s="5"/>
      <c r="J203" s="5"/>
    </row>
    <row r="204" spans="1:10" ht="19.5" customHeight="1" x14ac:dyDescent="0.25">
      <c r="A204" s="2">
        <v>201</v>
      </c>
      <c r="B204" s="3"/>
      <c r="C204" s="3"/>
      <c r="D204" s="3"/>
      <c r="E204" s="4"/>
      <c r="F204" s="4"/>
      <c r="G204" s="4"/>
      <c r="H204" s="4"/>
      <c r="I204" s="3"/>
      <c r="J204" s="3"/>
    </row>
    <row r="205" spans="1:10" ht="19.5" customHeight="1" x14ac:dyDescent="0.25">
      <c r="A205" s="2">
        <v>202</v>
      </c>
      <c r="B205" s="5"/>
      <c r="C205" s="5"/>
      <c r="D205" s="5"/>
      <c r="E205" s="4"/>
      <c r="F205" s="4"/>
      <c r="G205" s="4"/>
      <c r="H205" s="4"/>
      <c r="I205" s="5"/>
      <c r="J205" s="5"/>
    </row>
    <row r="206" spans="1:10" ht="19.5" customHeight="1" x14ac:dyDescent="0.25">
      <c r="A206" s="2">
        <v>203</v>
      </c>
      <c r="B206" s="3"/>
      <c r="C206" s="3"/>
      <c r="D206" s="3"/>
      <c r="E206" s="4"/>
      <c r="F206" s="4"/>
      <c r="G206" s="4"/>
      <c r="H206" s="4"/>
      <c r="I206" s="3"/>
      <c r="J206" s="3"/>
    </row>
    <row r="207" spans="1:10" ht="19.5" customHeight="1" x14ac:dyDescent="0.25">
      <c r="A207" s="2">
        <v>204</v>
      </c>
      <c r="B207" s="5"/>
      <c r="C207" s="5"/>
      <c r="D207" s="5"/>
      <c r="E207" s="4"/>
      <c r="F207" s="4"/>
      <c r="G207" s="4"/>
      <c r="H207" s="4"/>
      <c r="I207" s="5"/>
      <c r="J207" s="5"/>
    </row>
    <row r="208" spans="1:10" ht="19.5" customHeight="1" x14ac:dyDescent="0.25">
      <c r="A208" s="2">
        <v>205</v>
      </c>
      <c r="C208" s="3"/>
      <c r="D208" s="3"/>
      <c r="E208" s="4"/>
      <c r="F208" s="4"/>
      <c r="G208" s="4"/>
      <c r="H208" s="4"/>
      <c r="I208" s="3"/>
      <c r="J208" s="3"/>
    </row>
    <row r="209" spans="1:10" ht="19.5" customHeight="1" x14ac:dyDescent="0.25">
      <c r="A209" s="2">
        <v>206</v>
      </c>
      <c r="C209" s="5"/>
      <c r="D209" s="5"/>
      <c r="E209" s="4"/>
      <c r="F209" s="4"/>
      <c r="G209" s="4"/>
      <c r="H209" s="4"/>
      <c r="I209" s="5"/>
      <c r="J209" s="5"/>
    </row>
    <row r="210" spans="1:10" ht="19.5" customHeight="1" x14ac:dyDescent="0.25">
      <c r="A210" s="2">
        <v>207</v>
      </c>
      <c r="C210" s="3"/>
      <c r="D210" s="3"/>
      <c r="E210" s="4"/>
      <c r="F210" s="4"/>
      <c r="G210" s="4"/>
      <c r="H210" s="4"/>
      <c r="I210" s="3"/>
      <c r="J210" s="3"/>
    </row>
    <row r="211" spans="1:10" ht="19.5" customHeight="1" x14ac:dyDescent="0.25">
      <c r="A211" s="2">
        <v>208</v>
      </c>
      <c r="C211" s="5"/>
      <c r="D211" s="5"/>
      <c r="E211" s="4"/>
      <c r="F211" s="4"/>
      <c r="G211" s="4"/>
      <c r="H211" s="4"/>
      <c r="I211" s="5"/>
      <c r="J211" s="5"/>
    </row>
    <row r="212" spans="1:10" ht="19.5" customHeight="1" x14ac:dyDescent="0.25">
      <c r="A212" s="2">
        <v>209</v>
      </c>
      <c r="C212" s="3"/>
      <c r="D212" s="3"/>
      <c r="E212" s="4"/>
      <c r="F212" s="4"/>
      <c r="G212" s="4"/>
      <c r="H212" s="4"/>
      <c r="I212" s="3"/>
      <c r="J212" s="3"/>
    </row>
    <row r="213" spans="1:10" ht="19.5" customHeight="1" x14ac:dyDescent="0.25">
      <c r="A213" s="2">
        <v>210</v>
      </c>
      <c r="C213" s="5"/>
      <c r="D213" s="5"/>
      <c r="E213" s="4"/>
      <c r="F213" s="4"/>
      <c r="G213" s="4"/>
      <c r="H213" s="4"/>
      <c r="I213" s="5"/>
      <c r="J213" s="5"/>
    </row>
    <row r="214" spans="1:10" ht="19.5" customHeight="1" x14ac:dyDescent="0.25">
      <c r="A214" s="2">
        <v>211</v>
      </c>
      <c r="C214" s="3"/>
      <c r="D214" s="3"/>
      <c r="E214" s="4"/>
      <c r="F214" s="4"/>
      <c r="G214" s="4"/>
      <c r="H214" s="4"/>
      <c r="I214" s="3"/>
      <c r="J214" s="3"/>
    </row>
    <row r="215" spans="1:10" ht="19.5" customHeight="1" x14ac:dyDescent="0.25">
      <c r="A215" s="2">
        <v>212</v>
      </c>
      <c r="C215" s="5"/>
      <c r="D215" s="5"/>
      <c r="E215" s="4"/>
      <c r="F215" s="4"/>
      <c r="G215" s="4"/>
      <c r="H215" s="4"/>
      <c r="I215" s="5"/>
      <c r="J215" s="5"/>
    </row>
    <row r="216" spans="1:10" ht="19.5" customHeight="1" x14ac:dyDescent="0.25">
      <c r="A216" s="2">
        <v>213</v>
      </c>
      <c r="C216" s="3"/>
      <c r="D216" s="3"/>
      <c r="E216" s="4"/>
      <c r="F216" s="4"/>
      <c r="G216" s="4"/>
      <c r="H216" s="4"/>
      <c r="I216" s="3"/>
      <c r="J216" s="3"/>
    </row>
    <row r="217" spans="1:10" ht="19.5" customHeight="1" x14ac:dyDescent="0.25">
      <c r="A217" s="2">
        <v>214</v>
      </c>
      <c r="C217" s="5"/>
      <c r="D217" s="5"/>
      <c r="E217" s="4"/>
      <c r="F217" s="4"/>
      <c r="G217" s="4"/>
      <c r="H217" s="4"/>
      <c r="I217" s="5"/>
      <c r="J217" s="5"/>
    </row>
    <row r="218" spans="1:10" ht="19.5" customHeight="1" x14ac:dyDescent="0.25">
      <c r="A218" s="2">
        <v>215</v>
      </c>
      <c r="C218" s="3"/>
      <c r="D218" s="3"/>
      <c r="E218" s="4"/>
      <c r="F218" s="4"/>
      <c r="G218" s="4"/>
      <c r="H218" s="4"/>
      <c r="I218" s="3"/>
      <c r="J218" s="3"/>
    </row>
    <row r="219" spans="1:10" ht="19.5" customHeight="1" x14ac:dyDescent="0.25">
      <c r="A219" s="2">
        <v>216</v>
      </c>
      <c r="C219" s="5"/>
      <c r="D219" s="5"/>
      <c r="E219" s="4"/>
      <c r="F219" s="4"/>
      <c r="G219" s="4"/>
      <c r="H219" s="4"/>
      <c r="I219" s="5"/>
      <c r="J219" s="5"/>
    </row>
    <row r="220" spans="1:10" ht="19.5" customHeight="1" x14ac:dyDescent="0.25">
      <c r="A220" s="2">
        <v>217</v>
      </c>
      <c r="C220" s="3"/>
      <c r="D220" s="3"/>
      <c r="E220" s="4"/>
      <c r="F220" s="4"/>
      <c r="G220" s="4"/>
      <c r="H220" s="4"/>
      <c r="I220" s="3"/>
      <c r="J220" s="3"/>
    </row>
    <row r="221" spans="1:10" ht="19.5" customHeight="1" x14ac:dyDescent="0.25">
      <c r="A221" s="2">
        <v>218</v>
      </c>
      <c r="C221" s="5"/>
      <c r="D221" s="5"/>
      <c r="E221" s="4"/>
      <c r="F221" s="4"/>
      <c r="G221" s="4"/>
      <c r="H221" s="4"/>
      <c r="I221" s="5"/>
      <c r="J221" s="5"/>
    </row>
    <row r="222" spans="1:10" ht="19.5" customHeight="1" x14ac:dyDescent="0.25">
      <c r="A222" s="2">
        <v>219</v>
      </c>
      <c r="C222" s="3"/>
      <c r="D222" s="3"/>
      <c r="E222" s="4"/>
      <c r="F222" s="4"/>
      <c r="G222" s="4"/>
      <c r="H222" s="4"/>
      <c r="I222" s="3"/>
      <c r="J222" s="3"/>
    </row>
    <row r="223" spans="1:10" ht="19.5" customHeight="1" x14ac:dyDescent="0.25">
      <c r="A223" s="2">
        <v>220</v>
      </c>
      <c r="C223" s="5"/>
      <c r="D223" s="5"/>
      <c r="E223" s="4"/>
      <c r="F223" s="4"/>
      <c r="G223" s="4"/>
      <c r="H223" s="4"/>
      <c r="I223" s="5"/>
      <c r="J223" s="5"/>
    </row>
    <row r="224" spans="1:10" ht="19.5" customHeight="1" x14ac:dyDescent="0.25">
      <c r="A224" s="2">
        <v>221</v>
      </c>
      <c r="C224" s="3"/>
      <c r="D224" s="3"/>
      <c r="E224" s="4"/>
      <c r="F224" s="4"/>
      <c r="G224" s="4"/>
      <c r="H224" s="4"/>
      <c r="I224" s="3"/>
      <c r="J224" s="3"/>
    </row>
    <row r="225" spans="1:10" ht="19.5" customHeight="1" x14ac:dyDescent="0.25">
      <c r="A225" s="2">
        <v>222</v>
      </c>
      <c r="C225" s="5"/>
      <c r="D225" s="5"/>
      <c r="E225" s="4"/>
      <c r="F225" s="4"/>
      <c r="G225" s="4"/>
      <c r="H225" s="4"/>
      <c r="I225" s="5"/>
      <c r="J225" s="5"/>
    </row>
    <row r="226" spans="1:10" ht="19.5" customHeight="1" x14ac:dyDescent="0.25">
      <c r="A226" s="2">
        <v>223</v>
      </c>
      <c r="C226" s="3"/>
      <c r="D226" s="3"/>
      <c r="E226" s="4"/>
      <c r="F226" s="4"/>
      <c r="G226" s="4"/>
      <c r="H226" s="4"/>
      <c r="I226" s="3"/>
      <c r="J226" s="3"/>
    </row>
    <row r="227" spans="1:10" ht="19.5" customHeight="1" x14ac:dyDescent="0.25">
      <c r="A227" s="2">
        <v>224</v>
      </c>
      <c r="C227" s="5"/>
      <c r="D227" s="5"/>
      <c r="E227" s="4"/>
      <c r="F227" s="4"/>
      <c r="G227" s="4"/>
      <c r="H227" s="4"/>
      <c r="I227" s="5"/>
      <c r="J227" s="5"/>
    </row>
    <row r="228" spans="1:10" ht="19.5" customHeight="1" x14ac:dyDescent="0.25">
      <c r="A228" s="2">
        <v>225</v>
      </c>
      <c r="C228" s="3"/>
      <c r="D228" s="3"/>
      <c r="E228" s="4"/>
      <c r="F228" s="4"/>
      <c r="G228" s="4"/>
      <c r="H228" s="4"/>
      <c r="I228" s="3"/>
      <c r="J228" s="3"/>
    </row>
    <row r="229" spans="1:10" ht="19.5" customHeight="1" x14ac:dyDescent="0.25">
      <c r="A229" s="2">
        <v>226</v>
      </c>
      <c r="C229" s="5"/>
      <c r="D229" s="5"/>
      <c r="E229" s="4"/>
      <c r="F229" s="4"/>
      <c r="G229" s="4"/>
      <c r="H229" s="4"/>
      <c r="I229" s="5"/>
      <c r="J229" s="5"/>
    </row>
    <row r="230" spans="1:10" ht="19.5" customHeight="1" x14ac:dyDescent="0.25">
      <c r="A230" s="2">
        <v>227</v>
      </c>
      <c r="C230" s="3"/>
      <c r="D230" s="3"/>
      <c r="E230" s="4"/>
      <c r="F230" s="4"/>
      <c r="G230" s="4"/>
      <c r="H230" s="4"/>
      <c r="I230" s="3"/>
      <c r="J230" s="3"/>
    </row>
    <row r="231" spans="1:10" ht="19.5" customHeight="1" x14ac:dyDescent="0.25">
      <c r="A231" s="2">
        <v>228</v>
      </c>
      <c r="C231" s="5"/>
      <c r="D231" s="5"/>
      <c r="E231" s="4"/>
      <c r="F231" s="4"/>
      <c r="G231" s="4"/>
      <c r="H231" s="4"/>
      <c r="I231" s="5"/>
      <c r="J231" s="5"/>
    </row>
    <row r="232" spans="1:10" ht="19.5" customHeight="1" x14ac:dyDescent="0.25">
      <c r="A232" s="2">
        <v>229</v>
      </c>
      <c r="C232" s="3"/>
      <c r="D232" s="3"/>
      <c r="E232" s="4"/>
      <c r="F232" s="4"/>
      <c r="G232" s="4"/>
      <c r="H232" s="4"/>
      <c r="I232" s="3"/>
      <c r="J232" s="3"/>
    </row>
    <row r="233" spans="1:10" ht="19.5" customHeight="1" x14ac:dyDescent="0.25">
      <c r="A233" s="2">
        <v>230</v>
      </c>
      <c r="C233" s="5"/>
      <c r="D233" s="5"/>
      <c r="E233" s="4"/>
      <c r="F233" s="4"/>
      <c r="G233" s="4"/>
      <c r="H233" s="4"/>
      <c r="I233" s="5"/>
      <c r="J233" s="5"/>
    </row>
    <row r="234" spans="1:10" ht="19.5" customHeight="1" x14ac:dyDescent="0.25">
      <c r="A234" s="2">
        <v>231</v>
      </c>
      <c r="C234" s="3"/>
      <c r="D234" s="3"/>
      <c r="E234" s="4"/>
      <c r="F234" s="4"/>
      <c r="G234" s="4"/>
      <c r="H234" s="4"/>
      <c r="I234" s="3"/>
      <c r="J234" s="3"/>
    </row>
    <row r="235" spans="1:10" ht="19.5" customHeight="1" x14ac:dyDescent="0.25">
      <c r="A235" s="2">
        <v>232</v>
      </c>
      <c r="C235" s="5"/>
      <c r="D235" s="5"/>
      <c r="E235" s="4"/>
      <c r="F235" s="4"/>
      <c r="G235" s="4"/>
      <c r="H235" s="4"/>
      <c r="I235" s="5"/>
      <c r="J235" s="5"/>
    </row>
    <row r="236" spans="1:10" ht="19.5" customHeight="1" x14ac:dyDescent="0.25">
      <c r="A236" s="2">
        <v>233</v>
      </c>
      <c r="C236" s="3"/>
      <c r="D236" s="3"/>
      <c r="E236" s="4"/>
      <c r="F236" s="4"/>
      <c r="G236" s="4"/>
      <c r="H236" s="4"/>
      <c r="I236" s="3"/>
      <c r="J236" s="3"/>
    </row>
    <row r="237" spans="1:10" ht="19.5" customHeight="1" x14ac:dyDescent="0.25">
      <c r="A237" s="2">
        <v>234</v>
      </c>
      <c r="C237" s="5"/>
      <c r="D237" s="5"/>
      <c r="E237" s="4"/>
      <c r="F237" s="4"/>
      <c r="G237" s="4"/>
      <c r="H237" s="4"/>
      <c r="I237" s="5"/>
      <c r="J237" s="5"/>
    </row>
    <row r="238" spans="1:10" ht="19.5" customHeight="1" x14ac:dyDescent="0.25">
      <c r="A238" s="2">
        <v>235</v>
      </c>
      <c r="C238" s="3"/>
      <c r="D238" s="3"/>
      <c r="E238" s="4"/>
      <c r="F238" s="4"/>
      <c r="G238" s="4"/>
      <c r="H238" s="4"/>
      <c r="I238" s="3"/>
      <c r="J238" s="3"/>
    </row>
    <row r="239" spans="1:10" ht="19.5" customHeight="1" x14ac:dyDescent="0.25">
      <c r="A239" s="2">
        <v>236</v>
      </c>
      <c r="C239" s="5"/>
      <c r="D239" s="5"/>
      <c r="E239" s="4"/>
      <c r="F239" s="4"/>
      <c r="G239" s="4"/>
      <c r="H239" s="4"/>
      <c r="I239" s="5"/>
      <c r="J239" s="5"/>
    </row>
    <row r="240" spans="1:10" ht="19.5" customHeight="1" x14ac:dyDescent="0.25">
      <c r="A240" s="2">
        <v>237</v>
      </c>
      <c r="C240" s="3"/>
      <c r="D240" s="3"/>
      <c r="E240" s="4"/>
      <c r="F240" s="4"/>
      <c r="G240" s="4"/>
      <c r="H240" s="4"/>
      <c r="I240" s="3"/>
      <c r="J240" s="3"/>
    </row>
    <row r="241" spans="1:10" ht="19.5" customHeight="1" x14ac:dyDescent="0.25">
      <c r="A241" s="2">
        <v>238</v>
      </c>
      <c r="C241" s="5"/>
      <c r="D241" s="5"/>
      <c r="E241" s="4"/>
      <c r="F241" s="4"/>
      <c r="G241" s="4"/>
      <c r="H241" s="4"/>
      <c r="I241" s="5"/>
      <c r="J241" s="5"/>
    </row>
    <row r="242" spans="1:10" ht="19.5" customHeight="1" x14ac:dyDescent="0.25">
      <c r="A242" s="2">
        <v>239</v>
      </c>
      <c r="C242" s="3"/>
      <c r="D242" s="3"/>
      <c r="E242" s="4"/>
      <c r="F242" s="4"/>
      <c r="G242" s="4"/>
      <c r="H242" s="4"/>
      <c r="I242" s="3"/>
      <c r="J242" s="3"/>
    </row>
    <row r="243" spans="1:10" ht="19.5" customHeight="1" x14ac:dyDescent="0.25">
      <c r="A243" s="2">
        <v>240</v>
      </c>
      <c r="C243" s="5"/>
      <c r="D243" s="5"/>
      <c r="E243" s="4"/>
      <c r="F243" s="4"/>
      <c r="G243" s="4"/>
      <c r="H243" s="4"/>
      <c r="I243" s="5"/>
      <c r="J243" s="5"/>
    </row>
    <row r="244" spans="1:10" ht="19.5" customHeight="1" x14ac:dyDescent="0.25">
      <c r="A244" s="2">
        <v>241</v>
      </c>
      <c r="C244" s="3"/>
      <c r="D244" s="3"/>
      <c r="E244" s="4"/>
      <c r="F244" s="4"/>
      <c r="G244" s="4"/>
      <c r="H244" s="4"/>
      <c r="I244" s="3"/>
      <c r="J244" s="3"/>
    </row>
    <row r="245" spans="1:10" ht="19.5" customHeight="1" x14ac:dyDescent="0.25">
      <c r="A245" s="2">
        <v>242</v>
      </c>
      <c r="C245" s="5"/>
      <c r="D245" s="5"/>
      <c r="E245" s="4"/>
      <c r="F245" s="4"/>
      <c r="G245" s="4"/>
      <c r="H245" s="4"/>
      <c r="I245" s="5"/>
      <c r="J245" s="5"/>
    </row>
    <row r="246" spans="1:10" ht="19.5" customHeight="1" x14ac:dyDescent="0.25">
      <c r="A246" s="2">
        <v>243</v>
      </c>
      <c r="C246" s="3"/>
      <c r="D246" s="3"/>
      <c r="E246" s="4"/>
      <c r="F246" s="4"/>
      <c r="G246" s="4"/>
      <c r="H246" s="4"/>
      <c r="I246" s="3"/>
      <c r="J246" s="3"/>
    </row>
    <row r="247" spans="1:10" ht="19.5" customHeight="1" x14ac:dyDescent="0.25">
      <c r="A247" s="2">
        <v>244</v>
      </c>
      <c r="C247" s="5"/>
      <c r="D247" s="5"/>
      <c r="E247" s="4"/>
      <c r="F247" s="4"/>
      <c r="G247" s="4"/>
      <c r="H247" s="4"/>
      <c r="I247" s="5"/>
      <c r="J247" s="5"/>
    </row>
    <row r="248" spans="1:10" ht="19.5" customHeight="1" x14ac:dyDescent="0.25">
      <c r="A248" s="2">
        <v>245</v>
      </c>
      <c r="C248" s="3"/>
      <c r="D248" s="3"/>
      <c r="E248" s="4"/>
      <c r="F248" s="4"/>
      <c r="G248" s="4"/>
      <c r="H248" s="4"/>
      <c r="I248" s="3"/>
      <c r="J248" s="3"/>
    </row>
    <row r="249" spans="1:10" ht="19.5" customHeight="1" x14ac:dyDescent="0.25">
      <c r="A249" s="2">
        <v>246</v>
      </c>
      <c r="C249" s="5"/>
      <c r="D249" s="5"/>
      <c r="E249" s="4"/>
      <c r="F249" s="4"/>
      <c r="G249" s="4"/>
      <c r="H249" s="4"/>
      <c r="I249" s="5"/>
      <c r="J249" s="5"/>
    </row>
    <row r="250" spans="1:10" ht="19.5" customHeight="1" x14ac:dyDescent="0.25">
      <c r="A250" s="2">
        <v>247</v>
      </c>
      <c r="C250" s="3"/>
      <c r="D250" s="3"/>
      <c r="E250" s="4"/>
      <c r="F250" s="4"/>
      <c r="G250" s="4"/>
      <c r="H250" s="4"/>
      <c r="I250" s="3"/>
      <c r="J250" s="3"/>
    </row>
    <row r="251" spans="1:10" ht="19.5" customHeight="1" x14ac:dyDescent="0.25">
      <c r="A251" s="2">
        <v>248</v>
      </c>
      <c r="C251" s="5"/>
      <c r="D251" s="5"/>
      <c r="E251" s="4"/>
      <c r="F251" s="4"/>
      <c r="G251" s="4"/>
      <c r="H251" s="4"/>
      <c r="I251" s="5"/>
      <c r="J251" s="5"/>
    </row>
    <row r="252" spans="1:10" ht="19.5" customHeight="1" x14ac:dyDescent="0.25">
      <c r="A252" s="2">
        <v>249</v>
      </c>
      <c r="C252" s="3"/>
      <c r="D252" s="3"/>
      <c r="E252" s="4"/>
      <c r="F252" s="4"/>
      <c r="G252" s="4"/>
      <c r="H252" s="4"/>
      <c r="I252" s="3"/>
      <c r="J252" s="3"/>
    </row>
    <row r="253" spans="1:10" ht="19.5" customHeight="1" x14ac:dyDescent="0.25">
      <c r="A253" s="2">
        <v>250</v>
      </c>
      <c r="C253" s="5"/>
      <c r="D253" s="5"/>
      <c r="E253" s="4"/>
      <c r="F253" s="4"/>
      <c r="G253" s="4"/>
      <c r="H253" s="4"/>
      <c r="I253" s="5"/>
      <c r="J253" s="5"/>
    </row>
    <row r="254" spans="1:10" ht="19.5" customHeight="1" x14ac:dyDescent="0.25">
      <c r="A254" s="2">
        <v>251</v>
      </c>
      <c r="C254" s="3"/>
      <c r="D254" s="3"/>
      <c r="E254" s="4"/>
      <c r="F254" s="4"/>
      <c r="G254" s="4"/>
      <c r="H254" s="4"/>
      <c r="I254" s="3"/>
      <c r="J254" s="3"/>
    </row>
    <row r="255" spans="1:10" ht="19.5" customHeight="1" x14ac:dyDescent="0.25">
      <c r="A255" s="2">
        <v>252</v>
      </c>
      <c r="C255" s="5"/>
      <c r="D255" s="5"/>
      <c r="E255" s="4"/>
      <c r="F255" s="4"/>
      <c r="G255" s="4"/>
      <c r="H255" s="4"/>
      <c r="I255" s="5"/>
      <c r="J255" s="5"/>
    </row>
    <row r="256" spans="1:10" ht="19.5" customHeight="1" x14ac:dyDescent="0.25">
      <c r="A256" s="2">
        <v>253</v>
      </c>
      <c r="C256" s="3"/>
      <c r="D256" s="3"/>
      <c r="E256" s="4"/>
      <c r="F256" s="4"/>
      <c r="G256" s="4"/>
      <c r="H256" s="4"/>
      <c r="I256" s="3"/>
      <c r="J256" s="3"/>
    </row>
    <row r="257" spans="1:10" ht="19.5" customHeight="1" x14ac:dyDescent="0.25">
      <c r="A257" s="2">
        <v>254</v>
      </c>
      <c r="C257" s="5"/>
      <c r="D257" s="5"/>
      <c r="E257" s="4"/>
      <c r="F257" s="4"/>
      <c r="G257" s="4"/>
      <c r="H257" s="4"/>
      <c r="I257" s="5"/>
      <c r="J257" s="5"/>
    </row>
    <row r="258" spans="1:10" ht="19.5" customHeight="1" x14ac:dyDescent="0.25">
      <c r="A258" s="2">
        <v>255</v>
      </c>
      <c r="C258" s="3"/>
      <c r="D258" s="3"/>
      <c r="E258" s="4"/>
      <c r="F258" s="4"/>
      <c r="G258" s="4"/>
      <c r="H258" s="4"/>
      <c r="I258" s="3"/>
      <c r="J258" s="3"/>
    </row>
    <row r="259" spans="1:10" ht="19.5" customHeight="1" x14ac:dyDescent="0.25">
      <c r="A259" s="2">
        <v>256</v>
      </c>
      <c r="C259" s="5"/>
      <c r="D259" s="5"/>
      <c r="E259" s="4"/>
      <c r="F259" s="4"/>
      <c r="G259" s="4"/>
      <c r="H259" s="4"/>
      <c r="I259" s="5"/>
      <c r="J259" s="5"/>
    </row>
    <row r="260" spans="1:10" ht="19.5" customHeight="1" x14ac:dyDescent="0.25">
      <c r="A260" s="2">
        <v>257</v>
      </c>
      <c r="C260" s="3"/>
      <c r="D260" s="3"/>
      <c r="E260" s="4"/>
      <c r="F260" s="4"/>
      <c r="G260" s="4"/>
      <c r="H260" s="4"/>
      <c r="I260" s="3"/>
      <c r="J260" s="3"/>
    </row>
    <row r="261" spans="1:10" ht="19.5" customHeight="1" x14ac:dyDescent="0.25">
      <c r="A261" s="2">
        <v>258</v>
      </c>
      <c r="C261" s="5"/>
      <c r="D261" s="5"/>
      <c r="E261" s="4"/>
      <c r="F261" s="4"/>
      <c r="G261" s="4"/>
      <c r="H261" s="4"/>
      <c r="I261" s="5"/>
      <c r="J261" s="5"/>
    </row>
    <row r="262" spans="1:10" ht="19.5" customHeight="1" x14ac:dyDescent="0.25">
      <c r="A262" s="2">
        <v>259</v>
      </c>
      <c r="C262" s="3"/>
      <c r="D262" s="3"/>
      <c r="E262" s="4"/>
      <c r="F262" s="4"/>
      <c r="G262" s="4"/>
      <c r="H262" s="4"/>
      <c r="I262" s="3"/>
      <c r="J262" s="3"/>
    </row>
    <row r="263" spans="1:10" ht="19.5" customHeight="1" x14ac:dyDescent="0.25">
      <c r="A263" s="2">
        <v>260</v>
      </c>
      <c r="C263" s="5"/>
      <c r="D263" s="5"/>
      <c r="E263" s="4"/>
      <c r="F263" s="4"/>
      <c r="G263" s="4"/>
      <c r="H263" s="4"/>
      <c r="I263" s="5"/>
      <c r="J263" s="5"/>
    </row>
    <row r="264" spans="1:10" ht="19.5" customHeight="1" x14ac:dyDescent="0.25">
      <c r="A264" s="2">
        <v>261</v>
      </c>
      <c r="C264" s="3"/>
      <c r="D264" s="3"/>
      <c r="E264" s="4"/>
      <c r="F264" s="4"/>
      <c r="G264" s="4"/>
      <c r="H264" s="4"/>
      <c r="I264" s="3"/>
      <c r="J264" s="3"/>
    </row>
    <row r="265" spans="1:10" ht="19.5" customHeight="1" x14ac:dyDescent="0.25">
      <c r="A265" s="2">
        <v>262</v>
      </c>
      <c r="C265" s="5"/>
      <c r="D265" s="5"/>
      <c r="E265" s="4"/>
      <c r="F265" s="4"/>
      <c r="G265" s="4"/>
      <c r="H265" s="4"/>
      <c r="I265" s="5"/>
      <c r="J265" s="5"/>
    </row>
    <row r="266" spans="1:10" ht="19.5" customHeight="1" x14ac:dyDescent="0.25">
      <c r="A266" s="2">
        <v>263</v>
      </c>
      <c r="C266" s="3"/>
      <c r="D266" s="3"/>
      <c r="E266" s="4"/>
      <c r="F266" s="4"/>
      <c r="G266" s="4"/>
      <c r="H266" s="4"/>
      <c r="I266" s="3"/>
      <c r="J266" s="3"/>
    </row>
    <row r="267" spans="1:10" ht="19.5" customHeight="1" x14ac:dyDescent="0.25">
      <c r="A267" s="2">
        <v>264</v>
      </c>
      <c r="C267" s="5"/>
      <c r="D267" s="5"/>
      <c r="E267" s="4"/>
      <c r="F267" s="4"/>
      <c r="G267" s="4"/>
      <c r="H267" s="4"/>
      <c r="I267" s="5"/>
      <c r="J267" s="5"/>
    </row>
    <row r="268" spans="1:10" ht="19.5" customHeight="1" x14ac:dyDescent="0.25">
      <c r="A268" s="2">
        <v>265</v>
      </c>
      <c r="C268" s="3"/>
      <c r="D268" s="3"/>
      <c r="E268" s="4"/>
      <c r="F268" s="4"/>
      <c r="G268" s="4"/>
      <c r="H268" s="4"/>
      <c r="I268" s="3"/>
      <c r="J268" s="3"/>
    </row>
    <row r="269" spans="1:10" ht="19.5" customHeight="1" x14ac:dyDescent="0.25">
      <c r="A269" s="2">
        <v>266</v>
      </c>
      <c r="C269" s="5"/>
      <c r="D269" s="5"/>
      <c r="E269" s="4"/>
      <c r="F269" s="4"/>
      <c r="G269" s="4"/>
      <c r="H269" s="4"/>
      <c r="I269" s="5"/>
      <c r="J269" s="5"/>
    </row>
    <row r="270" spans="1:10" ht="19.5" customHeight="1" x14ac:dyDescent="0.25">
      <c r="A270" s="2">
        <v>267</v>
      </c>
      <c r="C270" s="3"/>
      <c r="D270" s="3"/>
      <c r="E270" s="4"/>
      <c r="F270" s="4"/>
      <c r="G270" s="4"/>
      <c r="H270" s="4"/>
      <c r="I270" s="3"/>
      <c r="J270" s="3"/>
    </row>
    <row r="271" spans="1:10" ht="19.5" customHeight="1" x14ac:dyDescent="0.25">
      <c r="A271" s="2">
        <v>268</v>
      </c>
      <c r="C271" s="5"/>
      <c r="D271" s="5"/>
      <c r="E271" s="4"/>
      <c r="F271" s="4"/>
      <c r="G271" s="4"/>
      <c r="H271" s="4"/>
      <c r="I271" s="5"/>
      <c r="J271" s="5"/>
    </row>
    <row r="272" spans="1:10" ht="19.5" customHeight="1" x14ac:dyDescent="0.25">
      <c r="A272" s="2">
        <v>269</v>
      </c>
      <c r="C272" s="3"/>
      <c r="D272" s="3"/>
      <c r="E272" s="4"/>
      <c r="F272" s="4"/>
      <c r="G272" s="4"/>
      <c r="H272" s="4"/>
      <c r="I272" s="3"/>
      <c r="J272" s="3"/>
    </row>
    <row r="273" spans="1:10" ht="19.5" customHeight="1" x14ac:dyDescent="0.25">
      <c r="A273" s="2">
        <v>270</v>
      </c>
      <c r="C273" s="5"/>
      <c r="D273" s="5"/>
      <c r="E273" s="4"/>
      <c r="F273" s="4"/>
      <c r="G273" s="4"/>
      <c r="H273" s="4"/>
      <c r="I273" s="5"/>
      <c r="J273" s="5"/>
    </row>
    <row r="274" spans="1:10" ht="19.5" customHeight="1" x14ac:dyDescent="0.25">
      <c r="A274" s="2">
        <v>271</v>
      </c>
      <c r="C274" s="3"/>
      <c r="D274" s="3"/>
      <c r="E274" s="4"/>
      <c r="F274" s="4"/>
      <c r="G274" s="4"/>
      <c r="H274" s="4"/>
      <c r="I274" s="3"/>
      <c r="J274" s="3"/>
    </row>
    <row r="275" spans="1:10" ht="19.5" customHeight="1" x14ac:dyDescent="0.25">
      <c r="A275" s="2">
        <v>272</v>
      </c>
      <c r="C275" s="5"/>
      <c r="D275" s="5"/>
      <c r="E275" s="4"/>
      <c r="F275" s="4"/>
      <c r="G275" s="4"/>
      <c r="H275" s="4"/>
      <c r="I275" s="5"/>
      <c r="J275" s="5"/>
    </row>
    <row r="276" spans="1:10" ht="19.5" customHeight="1" x14ac:dyDescent="0.25">
      <c r="A276" s="2">
        <v>273</v>
      </c>
      <c r="C276" s="3"/>
      <c r="D276" s="3"/>
      <c r="E276" s="4"/>
      <c r="F276" s="4"/>
      <c r="G276" s="4"/>
      <c r="H276" s="4"/>
      <c r="I276" s="3"/>
      <c r="J276" s="3"/>
    </row>
    <row r="277" spans="1:10" ht="19.5" customHeight="1" x14ac:dyDescent="0.25">
      <c r="A277" s="2">
        <v>274</v>
      </c>
      <c r="C277" s="5"/>
      <c r="D277" s="5"/>
      <c r="E277" s="4"/>
      <c r="F277" s="4"/>
      <c r="G277" s="4"/>
      <c r="H277" s="4"/>
      <c r="I277" s="5"/>
      <c r="J277" s="5"/>
    </row>
    <row r="278" spans="1:10" ht="19.5" customHeight="1" x14ac:dyDescent="0.25">
      <c r="A278" s="2">
        <v>275</v>
      </c>
      <c r="C278" s="3"/>
      <c r="D278" s="3"/>
      <c r="E278" s="4"/>
      <c r="F278" s="4"/>
      <c r="G278" s="4"/>
      <c r="H278" s="4"/>
      <c r="I278" s="3"/>
      <c r="J278" s="3"/>
    </row>
    <row r="279" spans="1:10" ht="19.5" customHeight="1" x14ac:dyDescent="0.25">
      <c r="A279" s="2">
        <v>276</v>
      </c>
      <c r="C279" s="5"/>
      <c r="D279" s="5"/>
      <c r="E279" s="4"/>
      <c r="F279" s="4"/>
      <c r="G279" s="4"/>
      <c r="H279" s="4"/>
      <c r="I279" s="5"/>
      <c r="J279" s="5"/>
    </row>
    <row r="280" spans="1:10" ht="19.5" customHeight="1" x14ac:dyDescent="0.25">
      <c r="A280" s="2">
        <v>277</v>
      </c>
      <c r="C280" s="3"/>
      <c r="D280" s="3"/>
      <c r="E280" s="4"/>
      <c r="F280" s="4"/>
      <c r="G280" s="4"/>
      <c r="H280" s="4"/>
      <c r="I280" s="3"/>
      <c r="J280" s="3"/>
    </row>
    <row r="281" spans="1:10" ht="19.5" customHeight="1" x14ac:dyDescent="0.25">
      <c r="A281" s="2">
        <v>278</v>
      </c>
      <c r="C281" s="5"/>
      <c r="D281" s="5"/>
      <c r="E281" s="4"/>
      <c r="F281" s="4"/>
      <c r="G281" s="4"/>
      <c r="H281" s="4"/>
      <c r="I281" s="5"/>
      <c r="J281" s="5"/>
    </row>
    <row r="282" spans="1:10" ht="19.5" customHeight="1" x14ac:dyDescent="0.25">
      <c r="A282" s="2">
        <v>279</v>
      </c>
      <c r="C282" s="3"/>
      <c r="D282" s="3"/>
      <c r="E282" s="4"/>
      <c r="F282" s="4"/>
      <c r="G282" s="4"/>
      <c r="H282" s="4"/>
      <c r="I282" s="3"/>
      <c r="J282" s="3"/>
    </row>
    <row r="283" spans="1:10" ht="19.5" customHeight="1" x14ac:dyDescent="0.25">
      <c r="A283" s="2">
        <v>280</v>
      </c>
      <c r="C283" s="5"/>
      <c r="D283" s="5"/>
      <c r="E283" s="4"/>
      <c r="F283" s="4"/>
      <c r="G283" s="4"/>
      <c r="H283" s="4"/>
      <c r="I283" s="5"/>
      <c r="J283" s="5"/>
    </row>
    <row r="284" spans="1:10" ht="19.5" customHeight="1" x14ac:dyDescent="0.25">
      <c r="A284" s="2">
        <v>281</v>
      </c>
      <c r="C284" s="3"/>
      <c r="D284" s="3"/>
      <c r="E284" s="4"/>
      <c r="F284" s="4"/>
      <c r="G284" s="4"/>
      <c r="H284" s="4"/>
      <c r="I284" s="3"/>
      <c r="J284" s="3"/>
    </row>
    <row r="285" spans="1:10" ht="19.5" customHeight="1" x14ac:dyDescent="0.25">
      <c r="A285" s="2">
        <v>282</v>
      </c>
      <c r="C285" s="5"/>
      <c r="D285" s="5"/>
      <c r="E285" s="4"/>
      <c r="F285" s="4"/>
      <c r="G285" s="4"/>
      <c r="H285" s="4"/>
      <c r="I285" s="5"/>
      <c r="J285" s="5"/>
    </row>
    <row r="286" spans="1:10" ht="19.5" customHeight="1" x14ac:dyDescent="0.25">
      <c r="A286" s="2">
        <v>283</v>
      </c>
      <c r="C286" s="3"/>
      <c r="D286" s="3"/>
      <c r="E286" s="4"/>
      <c r="F286" s="4"/>
      <c r="G286" s="4"/>
      <c r="H286" s="4"/>
      <c r="I286" s="3"/>
      <c r="J286" s="3"/>
    </row>
    <row r="287" spans="1:10" ht="19.5" customHeight="1" x14ac:dyDescent="0.25">
      <c r="A287" s="2">
        <v>284</v>
      </c>
      <c r="C287" s="5"/>
      <c r="D287" s="5"/>
      <c r="E287" s="4"/>
      <c r="F287" s="4"/>
      <c r="G287" s="4"/>
      <c r="H287" s="4"/>
      <c r="I287" s="5"/>
      <c r="J287" s="5"/>
    </row>
    <row r="288" spans="1:10" ht="19.5" customHeight="1" x14ac:dyDescent="0.25">
      <c r="A288" s="2">
        <v>285</v>
      </c>
      <c r="C288" s="3"/>
      <c r="D288" s="3"/>
      <c r="E288" s="4"/>
      <c r="F288" s="4"/>
      <c r="G288" s="4"/>
      <c r="H288" s="4"/>
      <c r="I288" s="3"/>
      <c r="J288" s="3"/>
    </row>
    <row r="289" spans="1:10" ht="19.5" customHeight="1" x14ac:dyDescent="0.25">
      <c r="A289" s="2">
        <v>286</v>
      </c>
      <c r="C289" s="5"/>
      <c r="D289" s="5"/>
      <c r="E289" s="4"/>
      <c r="F289" s="4"/>
      <c r="G289" s="4"/>
      <c r="H289" s="4"/>
      <c r="I289" s="5"/>
      <c r="J289" s="5"/>
    </row>
    <row r="290" spans="1:10" ht="19.5" customHeight="1" x14ac:dyDescent="0.25">
      <c r="A290" s="2">
        <v>287</v>
      </c>
      <c r="C290" s="3"/>
      <c r="D290" s="3"/>
      <c r="E290" s="4"/>
      <c r="F290" s="4"/>
      <c r="G290" s="4"/>
      <c r="H290" s="4"/>
      <c r="I290" s="3"/>
      <c r="J290" s="3"/>
    </row>
    <row r="291" spans="1:10" ht="19.5" customHeight="1" x14ac:dyDescent="0.25">
      <c r="A291" s="2">
        <v>288</v>
      </c>
      <c r="C291" s="5"/>
      <c r="D291" s="5"/>
      <c r="E291" s="4"/>
      <c r="F291" s="4"/>
      <c r="G291" s="4"/>
      <c r="H291" s="4"/>
      <c r="I291" s="5"/>
      <c r="J291" s="5"/>
    </row>
    <row r="292" spans="1:10" ht="19.5" customHeight="1" x14ac:dyDescent="0.25">
      <c r="A292" s="2">
        <v>289</v>
      </c>
      <c r="C292" s="3"/>
      <c r="D292" s="3"/>
      <c r="E292" s="4"/>
      <c r="F292" s="4"/>
      <c r="G292" s="4"/>
      <c r="H292" s="4"/>
      <c r="I292" s="3"/>
      <c r="J292" s="3"/>
    </row>
    <row r="293" spans="1:10" ht="19.5" customHeight="1" x14ac:dyDescent="0.25">
      <c r="A293" s="2">
        <v>290</v>
      </c>
      <c r="C293" s="5"/>
      <c r="D293" s="5"/>
      <c r="E293" s="4"/>
      <c r="F293" s="4"/>
      <c r="G293" s="4"/>
      <c r="H293" s="4"/>
      <c r="I293" s="5"/>
      <c r="J293" s="5"/>
    </row>
    <row r="294" spans="1:10" ht="19.5" customHeight="1" x14ac:dyDescent="0.25">
      <c r="A294" s="2">
        <v>291</v>
      </c>
      <c r="C294" s="3"/>
      <c r="D294" s="3"/>
      <c r="E294" s="4"/>
      <c r="F294" s="4"/>
      <c r="G294" s="4"/>
      <c r="H294" s="4"/>
      <c r="I294" s="3"/>
      <c r="J294" s="3"/>
    </row>
    <row r="295" spans="1:10" ht="19.5" customHeight="1" x14ac:dyDescent="0.25">
      <c r="A295" s="2">
        <v>292</v>
      </c>
      <c r="C295" s="5"/>
      <c r="D295" s="5"/>
      <c r="E295" s="4"/>
      <c r="F295" s="4"/>
      <c r="G295" s="4"/>
      <c r="H295" s="4"/>
      <c r="I295" s="5"/>
      <c r="J295" s="5"/>
    </row>
    <row r="296" spans="1:10" ht="19.5" customHeight="1" x14ac:dyDescent="0.25">
      <c r="A296" s="2">
        <v>293</v>
      </c>
      <c r="C296" s="3"/>
      <c r="D296" s="3"/>
      <c r="E296" s="4"/>
      <c r="F296" s="4"/>
      <c r="G296" s="4"/>
      <c r="H296" s="4"/>
      <c r="I296" s="3"/>
      <c r="J296" s="3"/>
    </row>
    <row r="297" spans="1:10" ht="19.5" customHeight="1" x14ac:dyDescent="0.25">
      <c r="A297" s="2">
        <v>294</v>
      </c>
      <c r="C297" s="5"/>
      <c r="D297" s="5"/>
      <c r="E297" s="4"/>
      <c r="F297" s="4"/>
      <c r="G297" s="4"/>
      <c r="H297" s="4"/>
      <c r="I297" s="5"/>
      <c r="J297" s="5"/>
    </row>
    <row r="298" spans="1:10" ht="19.5" customHeight="1" x14ac:dyDescent="0.25">
      <c r="A298" s="2">
        <v>295</v>
      </c>
      <c r="C298" s="3"/>
      <c r="D298" s="3"/>
      <c r="E298" s="4"/>
      <c r="F298" s="4"/>
      <c r="G298" s="4"/>
      <c r="H298" s="4"/>
      <c r="I298" s="3"/>
      <c r="J298" s="3"/>
    </row>
    <row r="299" spans="1:10" ht="19.5" customHeight="1" x14ac:dyDescent="0.25">
      <c r="A299" s="2">
        <v>296</v>
      </c>
      <c r="C299" s="5"/>
      <c r="D299" s="5"/>
      <c r="E299" s="4"/>
      <c r="F299" s="4"/>
      <c r="G299" s="4"/>
      <c r="H299" s="4"/>
      <c r="I299" s="5"/>
      <c r="J299" s="5"/>
    </row>
    <row r="300" spans="1:10" ht="19.5" customHeight="1" x14ac:dyDescent="0.25">
      <c r="A300" s="2">
        <v>297</v>
      </c>
      <c r="C300" s="3"/>
      <c r="D300" s="3"/>
      <c r="E300" s="4"/>
      <c r="F300" s="4"/>
      <c r="G300" s="4"/>
      <c r="H300" s="4"/>
      <c r="I300" s="3"/>
      <c r="J300" s="3"/>
    </row>
    <row r="301" spans="1:10" ht="19.5" customHeight="1" x14ac:dyDescent="0.25">
      <c r="A301" s="2">
        <v>298</v>
      </c>
      <c r="C301" s="5"/>
      <c r="D301" s="5"/>
      <c r="E301" s="4"/>
      <c r="F301" s="4"/>
      <c r="G301" s="4"/>
      <c r="H301" s="4"/>
      <c r="I301" s="5"/>
      <c r="J301" s="5"/>
    </row>
    <row r="302" spans="1:10" ht="19.5" customHeight="1" x14ac:dyDescent="0.25">
      <c r="A302" s="2">
        <v>299</v>
      </c>
      <c r="C302" s="3"/>
      <c r="D302" s="3"/>
      <c r="E302" s="4"/>
      <c r="F302" s="4"/>
      <c r="G302" s="4"/>
      <c r="H302" s="4"/>
      <c r="I302" s="3"/>
      <c r="J302" s="3"/>
    </row>
    <row r="303" spans="1:10" ht="19.5" customHeight="1" x14ac:dyDescent="0.25">
      <c r="A303" s="2">
        <v>300</v>
      </c>
      <c r="C303" s="5"/>
      <c r="D303" s="5"/>
      <c r="E303" s="4"/>
      <c r="F303" s="4"/>
      <c r="G303" s="4"/>
      <c r="H303" s="4"/>
      <c r="I303" s="5"/>
      <c r="J303" s="5"/>
    </row>
  </sheetData>
  <mergeCells count="2">
    <mergeCell ref="A1:J1"/>
    <mergeCell ref="A2:J2"/>
  </mergeCells>
  <dataValidations count="1">
    <dataValidation type="list" allowBlank="1" sqref="H4:H303" xr:uid="{00000000-0002-0000-0000-000000000000}">
      <formula1>"5,12,18"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8449"/>
  </sheetPr>
  <dimension ref="A1:K39"/>
  <sheetViews>
    <sheetView showGridLines="0" tabSelected="1" zoomScaleNormal="100" workbookViewId="0">
      <pane ySplit="14" topLeftCell="A15" activePane="bottomLeft" state="frozen"/>
      <selection pane="bottomLeft" activeCell="B16" sqref="B16"/>
    </sheetView>
  </sheetViews>
  <sheetFormatPr defaultColWidth="8.7109375" defaultRowHeight="15" x14ac:dyDescent="0.25"/>
  <cols>
    <col min="1" max="1" width="4" customWidth="1"/>
    <col min="2" max="2" width="35" customWidth="1"/>
    <col min="3" max="3" width="15" customWidth="1"/>
    <col min="4" max="4" width="10" customWidth="1"/>
    <col min="5" max="5" width="8" customWidth="1"/>
    <col min="6" max="6" width="20" customWidth="1"/>
    <col min="7" max="7" width="12" customWidth="1"/>
    <col min="8" max="8" width="20" customWidth="1"/>
    <col min="9" max="9" width="10" customWidth="1"/>
    <col min="10" max="10" width="14" customWidth="1"/>
    <col min="11" max="11" width="20" customWidth="1"/>
  </cols>
  <sheetData>
    <row r="1" spans="1:11" ht="39.75" customHeight="1" x14ac:dyDescent="0.25">
      <c r="A1" s="30" t="s">
        <v>16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21.75" customHeight="1" x14ac:dyDescent="0.25">
      <c r="A2" s="31" t="s">
        <v>17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5" customHeight="1" x14ac:dyDescent="0.25">
      <c r="A3" s="34" t="s">
        <v>18</v>
      </c>
      <c r="B3" s="34"/>
    </row>
    <row r="4" spans="1:11" ht="21.75" customHeight="1" x14ac:dyDescent="0.25">
      <c r="B4" s="6" t="s">
        <v>19</v>
      </c>
    </row>
    <row r="5" spans="1:11" ht="21.75" customHeight="1" x14ac:dyDescent="0.25">
      <c r="A5" s="6" t="s">
        <v>20</v>
      </c>
      <c r="B5" s="8">
        <f ca="1">TODAY()</f>
        <v>46087</v>
      </c>
    </row>
    <row r="6" spans="1:11" ht="21.75" customHeight="1" x14ac:dyDescent="0.25">
      <c r="A6" s="6" t="s">
        <v>21</v>
      </c>
      <c r="B6" s="8">
        <f ca="1">TODAY()+30</f>
        <v>46117</v>
      </c>
    </row>
    <row r="7" spans="1:11" ht="21.75" customHeight="1" x14ac:dyDescent="0.25">
      <c r="A7" s="6" t="s">
        <v>22</v>
      </c>
      <c r="B7" s="7" t="s">
        <v>165</v>
      </c>
    </row>
    <row r="8" spans="1:11" ht="21.75" customHeight="1" x14ac:dyDescent="0.25">
      <c r="A8" s="6" t="s">
        <v>23</v>
      </c>
      <c r="B8" s="7" t="s">
        <v>24</v>
      </c>
    </row>
    <row r="9" spans="1:11" ht="21.75" customHeight="1" x14ac:dyDescent="0.25">
      <c r="A9" s="6" t="s">
        <v>25</v>
      </c>
      <c r="B9" s="7"/>
    </row>
    <row r="10" spans="1:11" ht="21.75" customHeight="1" x14ac:dyDescent="0.25">
      <c r="A10" s="6" t="s">
        <v>26</v>
      </c>
      <c r="B10" s="7"/>
    </row>
    <row r="11" spans="1:11" ht="21.75" customHeight="1" x14ac:dyDescent="0.25">
      <c r="A11" s="6" t="s">
        <v>27</v>
      </c>
      <c r="B11" s="7">
        <v>0</v>
      </c>
    </row>
    <row r="13" spans="1:11" ht="30" customHeight="1" x14ac:dyDescent="0.25">
      <c r="A13" s="35" t="s">
        <v>28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</row>
    <row r="14" spans="1:11" ht="30" customHeight="1" x14ac:dyDescent="0.25">
      <c r="A14" s="9" t="s">
        <v>2</v>
      </c>
      <c r="B14" s="9" t="s">
        <v>3</v>
      </c>
      <c r="C14" s="9" t="s">
        <v>4</v>
      </c>
      <c r="D14" s="9" t="s">
        <v>5</v>
      </c>
      <c r="E14" s="9" t="s">
        <v>29</v>
      </c>
      <c r="F14" s="9" t="s">
        <v>30</v>
      </c>
      <c r="G14" s="9" t="s">
        <v>31</v>
      </c>
      <c r="H14" s="9" t="s">
        <v>32</v>
      </c>
      <c r="I14" s="9" t="s">
        <v>33</v>
      </c>
      <c r="J14" s="9" t="s">
        <v>34</v>
      </c>
      <c r="K14" s="9" t="s">
        <v>35</v>
      </c>
    </row>
    <row r="15" spans="1:11" ht="21.75" customHeight="1" x14ac:dyDescent="0.25">
      <c r="A15" s="2">
        <v>1</v>
      </c>
      <c r="B15" s="7" t="s">
        <v>166</v>
      </c>
      <c r="C15" s="10" t="str">
        <f>IF(B15="","",IFERROR(VLOOKUP(B15,'Price List'!$B$4:$J$303,2,0),"- not found -"))</f>
        <v>Materials</v>
      </c>
      <c r="D15" s="10" t="str">
        <f>IF(B15="","",IFERROR(VLOOKUP(B15,'Price List'!$B$4:$J$303,3,0),""))</f>
        <v>Sft</v>
      </c>
      <c r="E15" s="4">
        <v>100</v>
      </c>
      <c r="F15" s="11">
        <f>IF(B15="","",IF($B$8="Retail",IFERROR(VLOOKUP(B15,'Price List'!$B$4:$J$303,4,0),0),IF($B$8="Trade",IFERROR(VLOOKUP(B15,'Price List'!$B$4:$J$303,5,0),0),IFERROR(VLOOKUP(B15,'Price List'!$B$4:$J$303,6,0),0))))</f>
        <v>182.77875</v>
      </c>
      <c r="G15" s="12">
        <v>0</v>
      </c>
      <c r="H15" s="11">
        <f t="shared" ref="H15:H34" si="0">IF(B15="","",IF(E15="","",ROUND(F15*(1-G15/100)*E15,2)))</f>
        <v>18277.88</v>
      </c>
      <c r="I15" s="13">
        <f>IF(B15="","",IFERROR(VLOOKUP(B15,'Price List'!$B$4:$J$303,7,0),0))</f>
        <v>5</v>
      </c>
      <c r="J15" s="11">
        <f t="shared" ref="J15:J34" si="1">IF(H15="","",ROUND(H15*I15/100,2))</f>
        <v>913.89</v>
      </c>
      <c r="K15" s="14">
        <f t="shared" ref="K15:K34" si="2">IF(H15="","",H15+J15)</f>
        <v>19191.77</v>
      </c>
    </row>
    <row r="16" spans="1:11" ht="21.75" customHeight="1" x14ac:dyDescent="0.25">
      <c r="A16" s="2">
        <v>2</v>
      </c>
      <c r="B16" s="7"/>
      <c r="C16" s="15" t="str">
        <f>IF(B16="","",IFERROR(VLOOKUP(B16,'Price List'!$B$4:$J$303,2,0),"- not found -"))</f>
        <v/>
      </c>
      <c r="D16" s="15" t="str">
        <f>IF(B16="","",IFERROR(VLOOKUP(B16,'Price List'!$B$4:$J$303,3,0),""))</f>
        <v/>
      </c>
      <c r="E16" s="4"/>
      <c r="F16" s="16" t="str">
        <f>IF(B16="","",IF($B$8="Retail",IFERROR(VLOOKUP(B16,'Price List'!$B$4:$J$303,4,0),0),IF($B$8="Trade",IFERROR(VLOOKUP(B16,'Price List'!$B$4:$J$303,5,0),0),IFERROR(VLOOKUP(B16,'Price List'!$B$4:$J$303,6,0),0))))</f>
        <v/>
      </c>
      <c r="G16" s="12">
        <v>0</v>
      </c>
      <c r="H16" s="16" t="str">
        <f t="shared" si="0"/>
        <v/>
      </c>
      <c r="I16" s="17" t="str">
        <f>IF(B16="","",IFERROR(VLOOKUP(B16,'Price List'!$B$4:$J$303,7,0),0))</f>
        <v/>
      </c>
      <c r="J16" s="16" t="str">
        <f t="shared" si="1"/>
        <v/>
      </c>
      <c r="K16" s="18" t="str">
        <f t="shared" si="2"/>
        <v/>
      </c>
    </row>
    <row r="17" spans="1:11" ht="21.75" customHeight="1" x14ac:dyDescent="0.25">
      <c r="A17" s="2">
        <v>3</v>
      </c>
      <c r="B17" s="7"/>
      <c r="C17" s="10" t="str">
        <f>IF(B17="","",IFERROR(VLOOKUP(B17,'Price List'!$B$4:$J$303,2,0),"- not found -"))</f>
        <v/>
      </c>
      <c r="D17" s="10" t="str">
        <f>IF(B17="","",IFERROR(VLOOKUP(B17,'Price List'!$B$4:$J$303,3,0),""))</f>
        <v/>
      </c>
      <c r="E17" s="4"/>
      <c r="F17" s="11" t="str">
        <f>IF(B17="","",IF($B$8="Retail",IFERROR(VLOOKUP(B17,'Price List'!$B$4:$J$303,4,0),0),IF($B$8="Trade",IFERROR(VLOOKUP(B17,'Price List'!$B$4:$J$303,5,0),0),IFERROR(VLOOKUP(B17,'Price List'!$B$4:$J$303,6,0),0))))</f>
        <v/>
      </c>
      <c r="G17" s="12">
        <v>0</v>
      </c>
      <c r="H17" s="11" t="str">
        <f t="shared" si="0"/>
        <v/>
      </c>
      <c r="I17" s="13" t="str">
        <f>IF(B17="","",IFERROR(VLOOKUP(B17,'Price List'!$B$4:$J$303,7,0),0))</f>
        <v/>
      </c>
      <c r="J17" s="11" t="str">
        <f t="shared" si="1"/>
        <v/>
      </c>
      <c r="K17" s="14" t="str">
        <f t="shared" si="2"/>
        <v/>
      </c>
    </row>
    <row r="18" spans="1:11" ht="21.75" customHeight="1" x14ac:dyDescent="0.25">
      <c r="A18" s="2">
        <v>4</v>
      </c>
      <c r="B18" s="7"/>
      <c r="C18" s="15" t="str">
        <f>IF(B18="","",IFERROR(VLOOKUP(B18,'Price List'!$B$4:$J$303,2,0),"- not found -"))</f>
        <v/>
      </c>
      <c r="D18" s="15" t="str">
        <f>IF(B18="","",IFERROR(VLOOKUP(B18,'Price List'!$B$4:$J$303,3,0),""))</f>
        <v/>
      </c>
      <c r="E18" s="4"/>
      <c r="F18" s="16" t="str">
        <f>IF(B18="","",IF($B$8="Retail",IFERROR(VLOOKUP(B18,'Price List'!$B$4:$J$303,4,0),0),IF($B$8="Trade",IFERROR(VLOOKUP(B18,'Price List'!$B$4:$J$303,5,0),0),IFERROR(VLOOKUP(B18,'Price List'!$B$4:$J$303,6,0),0))))</f>
        <v/>
      </c>
      <c r="G18" s="12">
        <v>0</v>
      </c>
      <c r="H18" s="16" t="str">
        <f t="shared" si="0"/>
        <v/>
      </c>
      <c r="I18" s="17" t="str">
        <f>IF(B18="","",IFERROR(VLOOKUP(B18,'Price List'!$B$4:$J$303,7,0),0))</f>
        <v/>
      </c>
      <c r="J18" s="16" t="str">
        <f t="shared" si="1"/>
        <v/>
      </c>
      <c r="K18" s="18" t="str">
        <f t="shared" si="2"/>
        <v/>
      </c>
    </row>
    <row r="19" spans="1:11" ht="21.75" customHeight="1" x14ac:dyDescent="0.25">
      <c r="A19" s="2">
        <v>5</v>
      </c>
      <c r="B19" s="7"/>
      <c r="C19" s="10" t="str">
        <f>IF(B19="","",IFERROR(VLOOKUP(B19,'Price List'!$B$4:$J$303,2,0),"- not found -"))</f>
        <v/>
      </c>
      <c r="D19" s="10" t="str">
        <f>IF(B19="","",IFERROR(VLOOKUP(B19,'Price List'!$B$4:$J$303,3,0),""))</f>
        <v/>
      </c>
      <c r="E19" s="4"/>
      <c r="F19" s="11" t="str">
        <f>IF(B19="","",IF($B$8="Retail",IFERROR(VLOOKUP(B19,'Price List'!$B$4:$J$303,4,0),0),IF($B$8="Trade",IFERROR(VLOOKUP(B19,'Price List'!$B$4:$J$303,5,0),0),IFERROR(VLOOKUP(B19,'Price List'!$B$4:$J$303,6,0),0))))</f>
        <v/>
      </c>
      <c r="G19" s="12">
        <v>0</v>
      </c>
      <c r="H19" s="11" t="str">
        <f t="shared" si="0"/>
        <v/>
      </c>
      <c r="I19" s="13" t="str">
        <f>IF(B19="","",IFERROR(VLOOKUP(B19,'Price List'!$B$4:$J$303,7,0),0))</f>
        <v/>
      </c>
      <c r="J19" s="11" t="str">
        <f t="shared" si="1"/>
        <v/>
      </c>
      <c r="K19" s="14" t="str">
        <f t="shared" si="2"/>
        <v/>
      </c>
    </row>
    <row r="20" spans="1:11" ht="21.75" customHeight="1" x14ac:dyDescent="0.25">
      <c r="A20" s="2">
        <v>6</v>
      </c>
      <c r="B20" s="7"/>
      <c r="C20" s="15" t="str">
        <f>IF(B20="","",IFERROR(VLOOKUP(B20,'Price List'!$B$4:$J$303,2,0),"- not found -"))</f>
        <v/>
      </c>
      <c r="D20" s="15" t="str">
        <f>IF(B20="","",IFERROR(VLOOKUP(B20,'Price List'!$B$4:$J$303,3,0),""))</f>
        <v/>
      </c>
      <c r="E20" s="4"/>
      <c r="F20" s="16" t="str">
        <f>IF(B20="","",IF($B$8="Retail",IFERROR(VLOOKUP(B20,'Price List'!$B$4:$J$303,4,0),0),IF($B$8="Trade",IFERROR(VLOOKUP(B20,'Price List'!$B$4:$J$303,5,0),0),IFERROR(VLOOKUP(B20,'Price List'!$B$4:$J$303,6,0),0))))</f>
        <v/>
      </c>
      <c r="G20" s="12">
        <v>0</v>
      </c>
      <c r="H20" s="16" t="str">
        <f t="shared" si="0"/>
        <v/>
      </c>
      <c r="I20" s="17" t="str">
        <f>IF(B20="","",IFERROR(VLOOKUP(B20,'Price List'!$B$4:$J$303,7,0),0))</f>
        <v/>
      </c>
      <c r="J20" s="16" t="str">
        <f t="shared" si="1"/>
        <v/>
      </c>
      <c r="K20" s="18" t="str">
        <f t="shared" si="2"/>
        <v/>
      </c>
    </row>
    <row r="21" spans="1:11" ht="21.75" customHeight="1" x14ac:dyDescent="0.25">
      <c r="A21" s="2">
        <v>7</v>
      </c>
      <c r="B21" s="7"/>
      <c r="C21" s="10" t="str">
        <f>IF(B21="","",IFERROR(VLOOKUP(B21,'Price List'!$B$4:$J$303,2,0),"- not found -"))</f>
        <v/>
      </c>
      <c r="D21" s="10" t="str">
        <f>IF(B21="","",IFERROR(VLOOKUP(B21,'Price List'!$B$4:$J$303,3,0),""))</f>
        <v/>
      </c>
      <c r="E21" s="4"/>
      <c r="F21" s="11" t="str">
        <f>IF(B21="","",IF($B$8="Retail",IFERROR(VLOOKUP(B21,'Price List'!$B$4:$J$303,4,0),0),IF($B$8="Trade",IFERROR(VLOOKUP(B21,'Price List'!$B$4:$J$303,5,0),0),IFERROR(VLOOKUP(B21,'Price List'!$B$4:$J$303,6,0),0))))</f>
        <v/>
      </c>
      <c r="G21" s="12">
        <v>0</v>
      </c>
      <c r="H21" s="11" t="str">
        <f t="shared" si="0"/>
        <v/>
      </c>
      <c r="I21" s="13" t="str">
        <f>IF(B21="","",IFERROR(VLOOKUP(B21,'Price List'!$B$4:$J$303,7,0),0))</f>
        <v/>
      </c>
      <c r="J21" s="11" t="str">
        <f t="shared" si="1"/>
        <v/>
      </c>
      <c r="K21" s="14" t="str">
        <f t="shared" si="2"/>
        <v/>
      </c>
    </row>
    <row r="22" spans="1:11" ht="21.75" customHeight="1" x14ac:dyDescent="0.25">
      <c r="A22" s="2">
        <v>8</v>
      </c>
      <c r="B22" s="7"/>
      <c r="C22" s="15" t="str">
        <f>IF(B22="","",IFERROR(VLOOKUP(B22,'Price List'!$B$4:$J$303,2,0),"- not found -"))</f>
        <v/>
      </c>
      <c r="D22" s="15" t="str">
        <f>IF(B22="","",IFERROR(VLOOKUP(B22,'Price List'!$B$4:$J$303,3,0),""))</f>
        <v/>
      </c>
      <c r="E22" s="4"/>
      <c r="F22" s="16" t="str">
        <f>IF(B22="","",IF($B$8="Retail",IFERROR(VLOOKUP(B22,'Price List'!$B$4:$J$303,4,0),0),IF($B$8="Trade",IFERROR(VLOOKUP(B22,'Price List'!$B$4:$J$303,5,0),0),IFERROR(VLOOKUP(B22,'Price List'!$B$4:$J$303,6,0),0))))</f>
        <v/>
      </c>
      <c r="G22" s="12">
        <v>0</v>
      </c>
      <c r="H22" s="16" t="str">
        <f t="shared" si="0"/>
        <v/>
      </c>
      <c r="I22" s="17" t="str">
        <f>IF(B22="","",IFERROR(VLOOKUP(B22,'Price List'!$B$4:$J$303,7,0),0))</f>
        <v/>
      </c>
      <c r="J22" s="16" t="str">
        <f t="shared" si="1"/>
        <v/>
      </c>
      <c r="K22" s="18" t="str">
        <f t="shared" si="2"/>
        <v/>
      </c>
    </row>
    <row r="23" spans="1:11" ht="21.75" customHeight="1" x14ac:dyDescent="0.25">
      <c r="A23" s="2">
        <v>9</v>
      </c>
      <c r="B23" s="7"/>
      <c r="C23" s="10" t="str">
        <f>IF(B23="","",IFERROR(VLOOKUP(B23,'Price List'!$B$4:$J$303,2,0),"- not found -"))</f>
        <v/>
      </c>
      <c r="D23" s="10" t="str">
        <f>IF(B23="","",IFERROR(VLOOKUP(B23,'Price List'!$B$4:$J$303,3,0),""))</f>
        <v/>
      </c>
      <c r="E23" s="4"/>
      <c r="F23" s="11" t="str">
        <f>IF(B23="","",IF($B$8="Retail",IFERROR(VLOOKUP(B23,'Price List'!$B$4:$J$303,4,0),0),IF($B$8="Trade",IFERROR(VLOOKUP(B23,'Price List'!$B$4:$J$303,5,0),0),IFERROR(VLOOKUP(B23,'Price List'!$B$4:$J$303,6,0),0))))</f>
        <v/>
      </c>
      <c r="G23" s="12">
        <v>0</v>
      </c>
      <c r="H23" s="11" t="str">
        <f t="shared" si="0"/>
        <v/>
      </c>
      <c r="I23" s="13" t="str">
        <f>IF(B23="","",IFERROR(VLOOKUP(B23,'Price List'!$B$4:$J$303,7,0),0))</f>
        <v/>
      </c>
      <c r="J23" s="11" t="str">
        <f t="shared" si="1"/>
        <v/>
      </c>
      <c r="K23" s="14" t="str">
        <f t="shared" si="2"/>
        <v/>
      </c>
    </row>
    <row r="24" spans="1:11" ht="21.75" customHeight="1" x14ac:dyDescent="0.25">
      <c r="A24" s="2">
        <v>10</v>
      </c>
      <c r="B24" s="7"/>
      <c r="C24" s="15" t="str">
        <f>IF(B24="","",IFERROR(VLOOKUP(B24,'Price List'!$B$4:$J$303,2,0),"- not found -"))</f>
        <v/>
      </c>
      <c r="D24" s="15" t="str">
        <f>IF(B24="","",IFERROR(VLOOKUP(B24,'Price List'!$B$4:$J$303,3,0),""))</f>
        <v/>
      </c>
      <c r="E24" s="4"/>
      <c r="F24" s="16" t="str">
        <f>IF(B24="","",IF($B$8="Retail",IFERROR(VLOOKUP(B24,'Price List'!$B$4:$J$303,4,0),0),IF($B$8="Trade",IFERROR(VLOOKUP(B24,'Price List'!$B$4:$J$303,5,0),0),IFERROR(VLOOKUP(B24,'Price List'!$B$4:$J$303,6,0),0))))</f>
        <v/>
      </c>
      <c r="G24" s="12">
        <v>0</v>
      </c>
      <c r="H24" s="16" t="str">
        <f t="shared" si="0"/>
        <v/>
      </c>
      <c r="I24" s="17" t="str">
        <f>IF(B24="","",IFERROR(VLOOKUP(B24,'Price List'!$B$4:$J$303,7,0),0))</f>
        <v/>
      </c>
      <c r="J24" s="16" t="str">
        <f t="shared" si="1"/>
        <v/>
      </c>
      <c r="K24" s="18" t="str">
        <f t="shared" si="2"/>
        <v/>
      </c>
    </row>
    <row r="25" spans="1:11" ht="21.75" customHeight="1" x14ac:dyDescent="0.25">
      <c r="A25" s="2">
        <v>11</v>
      </c>
      <c r="B25" s="7"/>
      <c r="C25" s="10" t="str">
        <f>IF(B25="","",IFERROR(VLOOKUP(B25,'Price List'!$B$4:$J$303,2,0),"- not found -"))</f>
        <v/>
      </c>
      <c r="D25" s="10" t="str">
        <f>IF(B25="","",IFERROR(VLOOKUP(B25,'Price List'!$B$4:$J$303,3,0),""))</f>
        <v/>
      </c>
      <c r="E25" s="4"/>
      <c r="F25" s="11" t="str">
        <f>IF(B25="","",IF($B$8="Retail",IFERROR(VLOOKUP(B25,'Price List'!$B$4:$J$303,4,0),0),IF($B$8="Trade",IFERROR(VLOOKUP(B25,'Price List'!$B$4:$J$303,5,0),0),IFERROR(VLOOKUP(B25,'Price List'!$B$4:$J$303,6,0),0))))</f>
        <v/>
      </c>
      <c r="G25" s="12">
        <v>0</v>
      </c>
      <c r="H25" s="11" t="str">
        <f t="shared" si="0"/>
        <v/>
      </c>
      <c r="I25" s="13" t="str">
        <f>IF(B25="","",IFERROR(VLOOKUP(B25,'Price List'!$B$4:$J$303,7,0),0))</f>
        <v/>
      </c>
      <c r="J25" s="11" t="str">
        <f t="shared" si="1"/>
        <v/>
      </c>
      <c r="K25" s="14" t="str">
        <f t="shared" si="2"/>
        <v/>
      </c>
    </row>
    <row r="26" spans="1:11" ht="21.75" customHeight="1" x14ac:dyDescent="0.25">
      <c r="A26" s="2">
        <v>12</v>
      </c>
      <c r="B26" s="7"/>
      <c r="C26" s="15" t="str">
        <f>IF(B26="","",IFERROR(VLOOKUP(B26,'Price List'!$B$4:$J$303,2,0),"- not found -"))</f>
        <v/>
      </c>
      <c r="D26" s="15" t="str">
        <f>IF(B26="","",IFERROR(VLOOKUP(B26,'Price List'!$B$4:$J$303,3,0),""))</f>
        <v/>
      </c>
      <c r="E26" s="4"/>
      <c r="F26" s="16" t="str">
        <f>IF(B26="","",IF($B$8="Retail",IFERROR(VLOOKUP(B26,'Price List'!$B$4:$J$303,4,0),0),IF($B$8="Trade",IFERROR(VLOOKUP(B26,'Price List'!$B$4:$J$303,5,0),0),IFERROR(VLOOKUP(B26,'Price List'!$B$4:$J$303,6,0),0))))</f>
        <v/>
      </c>
      <c r="G26" s="12">
        <v>0</v>
      </c>
      <c r="H26" s="16" t="str">
        <f t="shared" si="0"/>
        <v/>
      </c>
      <c r="I26" s="17" t="str">
        <f>IF(B26="","",IFERROR(VLOOKUP(B26,'Price List'!$B$4:$J$303,7,0),0))</f>
        <v/>
      </c>
      <c r="J26" s="16" t="str">
        <f t="shared" si="1"/>
        <v/>
      </c>
      <c r="K26" s="18" t="str">
        <f t="shared" si="2"/>
        <v/>
      </c>
    </row>
    <row r="27" spans="1:11" ht="21.75" customHeight="1" x14ac:dyDescent="0.25">
      <c r="A27" s="2">
        <v>13</v>
      </c>
      <c r="B27" s="7"/>
      <c r="C27" s="10" t="str">
        <f>IF(B27="","",IFERROR(VLOOKUP(B27,'Price List'!$B$4:$J$303,2,0),"- not found -"))</f>
        <v/>
      </c>
      <c r="D27" s="10" t="str">
        <f>IF(B27="","",IFERROR(VLOOKUP(B27,'Price List'!$B$4:$J$303,3,0),""))</f>
        <v/>
      </c>
      <c r="E27" s="4"/>
      <c r="F27" s="11" t="str">
        <f>IF(B27="","",IF($B$8="Retail",IFERROR(VLOOKUP(B27,'Price List'!$B$4:$J$303,4,0),0),IF($B$8="Trade",IFERROR(VLOOKUP(B27,'Price List'!$B$4:$J$303,5,0),0),IFERROR(VLOOKUP(B27,'Price List'!$B$4:$J$303,6,0),0))))</f>
        <v/>
      </c>
      <c r="G27" s="12">
        <v>0</v>
      </c>
      <c r="H27" s="11" t="str">
        <f t="shared" si="0"/>
        <v/>
      </c>
      <c r="I27" s="13" t="str">
        <f>IF(B27="","",IFERROR(VLOOKUP(B27,'Price List'!$B$4:$J$303,7,0),0))</f>
        <v/>
      </c>
      <c r="J27" s="11" t="str">
        <f t="shared" si="1"/>
        <v/>
      </c>
      <c r="K27" s="14" t="str">
        <f t="shared" si="2"/>
        <v/>
      </c>
    </row>
    <row r="28" spans="1:11" ht="21.75" customHeight="1" x14ac:dyDescent="0.25">
      <c r="A28" s="2">
        <v>14</v>
      </c>
      <c r="B28" s="7"/>
      <c r="C28" s="15" t="str">
        <f>IF(B28="","",IFERROR(VLOOKUP(B28,'Price List'!$B$4:$J$303,2,0),"- not found -"))</f>
        <v/>
      </c>
      <c r="D28" s="15" t="str">
        <f>IF(B28="","",IFERROR(VLOOKUP(B28,'Price List'!$B$4:$J$303,3,0),""))</f>
        <v/>
      </c>
      <c r="E28" s="4"/>
      <c r="F28" s="16" t="str">
        <f>IF(B28="","",IF($B$8="Retail",IFERROR(VLOOKUP(B28,'Price List'!$B$4:$J$303,4,0),0),IF($B$8="Trade",IFERROR(VLOOKUP(B28,'Price List'!$B$4:$J$303,5,0),0),IFERROR(VLOOKUP(B28,'Price List'!$B$4:$J$303,6,0),0))))</f>
        <v/>
      </c>
      <c r="G28" s="12">
        <v>0</v>
      </c>
      <c r="H28" s="16" t="str">
        <f t="shared" si="0"/>
        <v/>
      </c>
      <c r="I28" s="17" t="str">
        <f>IF(B28="","",IFERROR(VLOOKUP(B28,'Price List'!$B$4:$J$303,7,0),0))</f>
        <v/>
      </c>
      <c r="J28" s="16" t="str">
        <f t="shared" si="1"/>
        <v/>
      </c>
      <c r="K28" s="18" t="str">
        <f t="shared" si="2"/>
        <v/>
      </c>
    </row>
    <row r="29" spans="1:11" ht="21.75" customHeight="1" x14ac:dyDescent="0.25">
      <c r="A29" s="2">
        <v>15</v>
      </c>
      <c r="B29" s="7"/>
      <c r="C29" s="10" t="str">
        <f>IF(B29="","",IFERROR(VLOOKUP(B29,'Price List'!$B$4:$J$303,2,0),"- not found -"))</f>
        <v/>
      </c>
      <c r="D29" s="10" t="str">
        <f>IF(B29="","",IFERROR(VLOOKUP(B29,'Price List'!$B$4:$J$303,3,0),""))</f>
        <v/>
      </c>
      <c r="E29" s="4"/>
      <c r="F29" s="11" t="str">
        <f>IF(B29="","",IF($B$8="Retail",IFERROR(VLOOKUP(B29,'Price List'!$B$4:$J$303,4,0),0),IF($B$8="Trade",IFERROR(VLOOKUP(B29,'Price List'!$B$4:$J$303,5,0),0),IFERROR(VLOOKUP(B29,'Price List'!$B$4:$J$303,6,0),0))))</f>
        <v/>
      </c>
      <c r="G29" s="12">
        <v>0</v>
      </c>
      <c r="H29" s="11" t="str">
        <f t="shared" si="0"/>
        <v/>
      </c>
      <c r="I29" s="13" t="str">
        <f>IF(B29="","",IFERROR(VLOOKUP(B29,'Price List'!$B$4:$J$303,7,0),0))</f>
        <v/>
      </c>
      <c r="J29" s="11" t="str">
        <f t="shared" si="1"/>
        <v/>
      </c>
      <c r="K29" s="14" t="str">
        <f t="shared" si="2"/>
        <v/>
      </c>
    </row>
    <row r="30" spans="1:11" ht="21.75" customHeight="1" x14ac:dyDescent="0.25">
      <c r="A30" s="2">
        <v>16</v>
      </c>
      <c r="B30" s="7"/>
      <c r="C30" s="15" t="str">
        <f>IF(B30="","",IFERROR(VLOOKUP(B30,'Price List'!$B$4:$J$303,2,0),"- not found -"))</f>
        <v/>
      </c>
      <c r="D30" s="15" t="str">
        <f>IF(B30="","",IFERROR(VLOOKUP(B30,'Price List'!$B$4:$J$303,3,0),""))</f>
        <v/>
      </c>
      <c r="E30" s="4"/>
      <c r="F30" s="16" t="str">
        <f>IF(B30="","",IF($B$8="Retail",IFERROR(VLOOKUP(B30,'Price List'!$B$4:$J$303,4,0),0),IF($B$8="Trade",IFERROR(VLOOKUP(B30,'Price List'!$B$4:$J$303,5,0),0),IFERROR(VLOOKUP(B30,'Price List'!$B$4:$J$303,6,0),0))))</f>
        <v/>
      </c>
      <c r="G30" s="12">
        <v>0</v>
      </c>
      <c r="H30" s="16" t="str">
        <f t="shared" si="0"/>
        <v/>
      </c>
      <c r="I30" s="17" t="str">
        <f>IF(B30="","",IFERROR(VLOOKUP(B30,'Price List'!$B$4:$J$303,7,0),0))</f>
        <v/>
      </c>
      <c r="J30" s="16" t="str">
        <f t="shared" si="1"/>
        <v/>
      </c>
      <c r="K30" s="18" t="str">
        <f t="shared" si="2"/>
        <v/>
      </c>
    </row>
    <row r="31" spans="1:11" ht="21.75" customHeight="1" x14ac:dyDescent="0.25">
      <c r="A31" s="2">
        <v>17</v>
      </c>
      <c r="B31" s="7"/>
      <c r="C31" s="10" t="str">
        <f>IF(B31="","",IFERROR(VLOOKUP(B31,'Price List'!$B$4:$J$303,2,0),"- not found -"))</f>
        <v/>
      </c>
      <c r="D31" s="10" t="str">
        <f>IF(B31="","",IFERROR(VLOOKUP(B31,'Price List'!$B$4:$J$303,3,0),""))</f>
        <v/>
      </c>
      <c r="E31" s="4"/>
      <c r="F31" s="11" t="str">
        <f>IF(B31="","",IF($B$8="Retail",IFERROR(VLOOKUP(B31,'Price List'!$B$4:$J$303,4,0),0),IF($B$8="Trade",IFERROR(VLOOKUP(B31,'Price List'!$B$4:$J$303,5,0),0),IFERROR(VLOOKUP(B31,'Price List'!$B$4:$J$303,6,0),0))))</f>
        <v/>
      </c>
      <c r="G31" s="12">
        <v>0</v>
      </c>
      <c r="H31" s="11" t="str">
        <f t="shared" si="0"/>
        <v/>
      </c>
      <c r="I31" s="13" t="str">
        <f>IF(B31="","",IFERROR(VLOOKUP(B31,'Price List'!$B$4:$J$303,7,0),0))</f>
        <v/>
      </c>
      <c r="J31" s="11" t="str">
        <f t="shared" si="1"/>
        <v/>
      </c>
      <c r="K31" s="14" t="str">
        <f t="shared" si="2"/>
        <v/>
      </c>
    </row>
    <row r="32" spans="1:11" ht="21.75" customHeight="1" x14ac:dyDescent="0.25">
      <c r="A32" s="2">
        <v>18</v>
      </c>
      <c r="B32" s="7"/>
      <c r="C32" s="15" t="str">
        <f>IF(B32="","",IFERROR(VLOOKUP(B32,'Price List'!$B$4:$J$303,2,0),"- not found -"))</f>
        <v/>
      </c>
      <c r="D32" s="15" t="str">
        <f>IF(B32="","",IFERROR(VLOOKUP(B32,'Price List'!$B$4:$J$303,3,0),""))</f>
        <v/>
      </c>
      <c r="E32" s="4"/>
      <c r="F32" s="16" t="str">
        <f>IF(B32="","",IF($B$8="Retail",IFERROR(VLOOKUP(B32,'Price List'!$B$4:$J$303,4,0),0),IF($B$8="Trade",IFERROR(VLOOKUP(B32,'Price List'!$B$4:$J$303,5,0),0),IFERROR(VLOOKUP(B32,'Price List'!$B$4:$J$303,6,0),0))))</f>
        <v/>
      </c>
      <c r="G32" s="12">
        <v>0</v>
      </c>
      <c r="H32" s="16" t="str">
        <f t="shared" si="0"/>
        <v/>
      </c>
      <c r="I32" s="17" t="str">
        <f>IF(B32="","",IFERROR(VLOOKUP(B32,'Price List'!$B$4:$J$303,7,0),0))</f>
        <v/>
      </c>
      <c r="J32" s="16" t="str">
        <f t="shared" si="1"/>
        <v/>
      </c>
      <c r="K32" s="18" t="str">
        <f t="shared" si="2"/>
        <v/>
      </c>
    </row>
    <row r="33" spans="1:11" ht="21.75" customHeight="1" x14ac:dyDescent="0.25">
      <c r="A33" s="2">
        <v>19</v>
      </c>
      <c r="B33" s="7"/>
      <c r="C33" s="10" t="str">
        <f>IF(B33="","",IFERROR(VLOOKUP(B33,'Price List'!$B$4:$J$303,2,0),"- not found -"))</f>
        <v/>
      </c>
      <c r="D33" s="10" t="str">
        <f>IF(B33="","",IFERROR(VLOOKUP(B33,'Price List'!$B$4:$J$303,3,0),""))</f>
        <v/>
      </c>
      <c r="E33" s="4"/>
      <c r="F33" s="11" t="str">
        <f>IF(B33="","",IF($B$8="Retail",IFERROR(VLOOKUP(B33,'Price List'!$B$4:$J$303,4,0),0),IF($B$8="Trade",IFERROR(VLOOKUP(B33,'Price List'!$B$4:$J$303,5,0),0),IFERROR(VLOOKUP(B33,'Price List'!$B$4:$J$303,6,0),0))))</f>
        <v/>
      </c>
      <c r="G33" s="12">
        <v>0</v>
      </c>
      <c r="H33" s="11" t="str">
        <f t="shared" si="0"/>
        <v/>
      </c>
      <c r="I33" s="13" t="str">
        <f>IF(B33="","",IFERROR(VLOOKUP(B33,'Price List'!$B$4:$J$303,7,0),0))</f>
        <v/>
      </c>
      <c r="J33" s="11" t="str">
        <f t="shared" si="1"/>
        <v/>
      </c>
      <c r="K33" s="14" t="str">
        <f t="shared" si="2"/>
        <v/>
      </c>
    </row>
    <row r="34" spans="1:11" ht="21.75" customHeight="1" x14ac:dyDescent="0.25">
      <c r="A34" s="2">
        <v>20</v>
      </c>
      <c r="B34" s="7"/>
      <c r="C34" s="15" t="str">
        <f>IF(B34="","",IFERROR(VLOOKUP(B34,'Price List'!$B$4:$J$303,2,0),"- not found -"))</f>
        <v/>
      </c>
      <c r="D34" s="15" t="str">
        <f>IF(B34="","",IFERROR(VLOOKUP(B34,'Price List'!$B$4:$J$303,3,0),""))</f>
        <v/>
      </c>
      <c r="E34" s="4"/>
      <c r="F34" s="16" t="str">
        <f>IF(B34="","",IF($B$8="Retail",IFERROR(VLOOKUP(B34,'Price List'!$B$4:$J$303,4,0),0),IF($B$8="Trade",IFERROR(VLOOKUP(B34,'Price List'!$B$4:$J$303,5,0),0),IFERROR(VLOOKUP(B34,'Price List'!$B$4:$J$303,6,0),0))))</f>
        <v/>
      </c>
      <c r="G34" s="12">
        <v>0</v>
      </c>
      <c r="H34" s="16" t="str">
        <f t="shared" si="0"/>
        <v/>
      </c>
      <c r="I34" s="17" t="str">
        <f>IF(B34="","",IFERROR(VLOOKUP(B34,'Price List'!$B$4:$J$303,7,0),0))</f>
        <v/>
      </c>
      <c r="J34" s="16" t="str">
        <f t="shared" si="1"/>
        <v/>
      </c>
      <c r="K34" s="18" t="str">
        <f t="shared" si="2"/>
        <v/>
      </c>
    </row>
    <row r="36" spans="1:11" ht="25.5" customHeight="1" x14ac:dyDescent="0.25">
      <c r="A36" s="32" t="s">
        <v>36</v>
      </c>
      <c r="B36" s="32"/>
      <c r="C36" s="32"/>
      <c r="D36" s="32"/>
      <c r="E36" s="32"/>
      <c r="F36" s="32"/>
      <c r="G36" s="32"/>
      <c r="H36" s="32"/>
      <c r="I36" s="32"/>
      <c r="J36" s="32"/>
      <c r="K36" s="16">
        <f>SUMIF(B15:B34,"&lt;&gt;",H15:H34)</f>
        <v>18277.88</v>
      </c>
    </row>
    <row r="37" spans="1:11" ht="25.5" customHeight="1" x14ac:dyDescent="0.25">
      <c r="A37" s="32" t="s">
        <v>37</v>
      </c>
      <c r="B37" s="32"/>
      <c r="C37" s="32"/>
      <c r="D37" s="32"/>
      <c r="E37" s="32"/>
      <c r="F37" s="32"/>
      <c r="G37" s="32"/>
      <c r="H37" s="32"/>
      <c r="I37" s="32"/>
      <c r="J37" s="32"/>
      <c r="K37" s="16">
        <f>-SUMIF(B15:B34,"&lt;&gt;",H15:H34)*B11/100</f>
        <v>0</v>
      </c>
    </row>
    <row r="38" spans="1:11" ht="25.5" customHeight="1" x14ac:dyDescent="0.25">
      <c r="A38" s="32" t="s">
        <v>38</v>
      </c>
      <c r="B38" s="32"/>
      <c r="C38" s="32"/>
      <c r="D38" s="32"/>
      <c r="E38" s="32"/>
      <c r="F38" s="32"/>
      <c r="G38" s="32"/>
      <c r="H38" s="32"/>
      <c r="I38" s="32"/>
      <c r="J38" s="32"/>
      <c r="K38" s="16">
        <f>SUMIF(B15:B34,"&lt;&gt;",J15:J34)</f>
        <v>913.89</v>
      </c>
    </row>
    <row r="39" spans="1:11" ht="25.5" customHeight="1" x14ac:dyDescent="0.25">
      <c r="A39" s="33" t="s">
        <v>39</v>
      </c>
      <c r="B39" s="33"/>
      <c r="C39" s="33"/>
      <c r="D39" s="33"/>
      <c r="E39" s="33"/>
      <c r="F39" s="33"/>
      <c r="G39" s="33"/>
      <c r="H39" s="33"/>
      <c r="I39" s="33"/>
      <c r="J39" s="33"/>
      <c r="K39" s="19">
        <f>K36+K37+K38</f>
        <v>19191.77</v>
      </c>
    </row>
  </sheetData>
  <mergeCells count="8">
    <mergeCell ref="A37:J37"/>
    <mergeCell ref="A38:J38"/>
    <mergeCell ref="A39:J39"/>
    <mergeCell ref="A1:K1"/>
    <mergeCell ref="A2:K2"/>
    <mergeCell ref="A3:B3"/>
    <mergeCell ref="A13:K13"/>
    <mergeCell ref="A36:J36"/>
  </mergeCells>
  <dataValidations count="1">
    <dataValidation type="list" sqref="B8" xr:uid="{00000000-0002-0000-0100-000000000000}">
      <formula1>"Retail,Trade,Wholesale"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  <pageSetUpPr fitToPage="1"/>
  </sheetPr>
  <dimension ref="A1:J44"/>
  <sheetViews>
    <sheetView showGridLines="0" zoomScaleNormal="100" workbookViewId="0">
      <selection activeCell="B10" sqref="B10"/>
    </sheetView>
  </sheetViews>
  <sheetFormatPr defaultColWidth="8.7109375" defaultRowHeight="15" x14ac:dyDescent="0.25"/>
  <cols>
    <col min="1" max="1" width="5" customWidth="1"/>
    <col min="2" max="2" width="32" customWidth="1"/>
    <col min="3" max="3" width="14" customWidth="1"/>
    <col min="4" max="4" width="10" customWidth="1"/>
    <col min="5" max="5" width="8" customWidth="1"/>
    <col min="6" max="6" width="15" customWidth="1"/>
    <col min="7" max="7" width="12" customWidth="1"/>
    <col min="8" max="8" width="14" customWidth="1"/>
    <col min="9" max="9" width="10" customWidth="1"/>
    <col min="10" max="10" width="16" customWidth="1"/>
  </cols>
  <sheetData>
    <row r="1" spans="1:10" ht="49.5" customHeight="1" x14ac:dyDescent="0.25">
      <c r="A1" s="41" t="s">
        <v>40</v>
      </c>
      <c r="B1" s="41"/>
      <c r="C1" s="41"/>
      <c r="D1" s="41"/>
      <c r="E1" s="41"/>
      <c r="F1" s="41"/>
      <c r="G1" s="42" t="s">
        <v>41</v>
      </c>
      <c r="H1" s="42"/>
      <c r="I1" s="42"/>
      <c r="J1" s="42"/>
    </row>
    <row r="2" spans="1:10" ht="18" customHeight="1" x14ac:dyDescent="0.25">
      <c r="A2" s="43" t="s">
        <v>42</v>
      </c>
      <c r="B2" s="43"/>
      <c r="C2" s="43"/>
      <c r="D2" s="43"/>
      <c r="E2" s="43"/>
      <c r="F2" s="43"/>
      <c r="G2" s="43"/>
      <c r="H2" s="43"/>
      <c r="I2" s="43"/>
      <c r="J2" s="43"/>
    </row>
    <row r="4" spans="1:10" ht="21.75" customHeight="1" x14ac:dyDescent="0.25">
      <c r="A4" s="39" t="s">
        <v>19</v>
      </c>
      <c r="B4" s="39"/>
      <c r="C4" s="40" t="e">
        <f>'Quote Builder'!#REF!</f>
        <v>#REF!</v>
      </c>
      <c r="D4" s="40"/>
      <c r="F4" s="44" t="s">
        <v>43</v>
      </c>
      <c r="G4" s="44"/>
      <c r="H4" s="45" t="s">
        <v>164</v>
      </c>
      <c r="I4" s="45"/>
      <c r="J4" s="45"/>
    </row>
    <row r="5" spans="1:10" ht="21.75" customHeight="1" x14ac:dyDescent="0.25">
      <c r="A5" s="39" t="s">
        <v>20</v>
      </c>
      <c r="B5" s="39"/>
      <c r="C5" s="40" t="str">
        <f ca="1">TEXT('Quote Builder'!B5,"DD-MMM-YYYY")</f>
        <v>06-Mar-2026</v>
      </c>
      <c r="D5" s="40"/>
      <c r="F5" s="39" t="s">
        <v>44</v>
      </c>
      <c r="G5" s="39"/>
      <c r="H5" s="40">
        <f>'Quote Builder'!B9</f>
        <v>0</v>
      </c>
      <c r="I5" s="40"/>
      <c r="J5" s="40"/>
    </row>
    <row r="6" spans="1:10" ht="21.75" customHeight="1" x14ac:dyDescent="0.25">
      <c r="A6" s="39" t="s">
        <v>21</v>
      </c>
      <c r="B6" s="39"/>
      <c r="C6" s="40" t="str">
        <f ca="1">TEXT('Quote Builder'!B6,"DD-MMM-YYYY")</f>
        <v>05-Apr-2026</v>
      </c>
      <c r="D6" s="40"/>
      <c r="F6" s="39" t="s">
        <v>45</v>
      </c>
      <c r="G6" s="39"/>
      <c r="H6" s="40">
        <f>'Quote Builder'!B10</f>
        <v>0</v>
      </c>
      <c r="I6" s="40"/>
      <c r="J6" s="40"/>
    </row>
    <row r="7" spans="1:10" ht="21.75" customHeight="1" x14ac:dyDescent="0.25">
      <c r="A7" s="39" t="s">
        <v>23</v>
      </c>
      <c r="B7" s="39"/>
      <c r="C7" s="40" t="str">
        <f>'Quote Builder'!B8</f>
        <v>Retail</v>
      </c>
      <c r="D7" s="40"/>
    </row>
    <row r="9" spans="1:10" ht="27.75" customHeight="1" x14ac:dyDescent="0.25">
      <c r="A9" s="9" t="s">
        <v>2</v>
      </c>
      <c r="B9" s="9" t="s">
        <v>46</v>
      </c>
      <c r="C9" s="9" t="s">
        <v>4</v>
      </c>
      <c r="D9" s="9" t="s">
        <v>5</v>
      </c>
      <c r="E9" s="9" t="s">
        <v>29</v>
      </c>
      <c r="F9" s="9" t="s">
        <v>47</v>
      </c>
      <c r="G9" s="9" t="s">
        <v>48</v>
      </c>
      <c r="H9" s="9" t="s">
        <v>49</v>
      </c>
      <c r="I9" s="9" t="s">
        <v>33</v>
      </c>
      <c r="J9" s="9" t="s">
        <v>50</v>
      </c>
    </row>
    <row r="10" spans="1:10" ht="19.5" customHeight="1" x14ac:dyDescent="0.25">
      <c r="A10" s="20">
        <v>1</v>
      </c>
      <c r="B10" s="20" t="str">
        <f>'Quote Builder'!B15</f>
        <v>black butching panel</v>
      </c>
      <c r="C10" s="20" t="str">
        <f>'Quote Builder'!C15</f>
        <v>Materials</v>
      </c>
      <c r="D10" s="20" t="str">
        <f>'Quote Builder'!D15</f>
        <v>Sft</v>
      </c>
      <c r="E10" s="20">
        <f>'Quote Builder'!E15</f>
        <v>100</v>
      </c>
      <c r="F10" s="21">
        <f>IF('Quote Builder'!B15="","",ROUND('Quote Builder'!F15,2))</f>
        <v>182.78</v>
      </c>
      <c r="G10" s="22">
        <f>IF('Quote Builder'!B15="","",ROUND('Quote Builder'!G15,2))</f>
        <v>0</v>
      </c>
      <c r="H10" s="21">
        <f>IF('Quote Builder'!B15="","",ROUND('Quote Builder'!H15,2))</f>
        <v>18277.88</v>
      </c>
      <c r="I10" s="23">
        <f>IF('Quote Builder'!B15="","",ROUND('Quote Builder'!I15,2))</f>
        <v>5</v>
      </c>
      <c r="J10" s="21">
        <f>IF('Quote Builder'!B15="","",ROUND('Quote Builder'!K15,2))</f>
        <v>19191.77</v>
      </c>
    </row>
    <row r="11" spans="1:10" ht="19.5" customHeight="1" x14ac:dyDescent="0.25">
      <c r="A11" s="24">
        <v>2</v>
      </c>
      <c r="B11" s="24">
        <f>'Quote Builder'!B16</f>
        <v>0</v>
      </c>
      <c r="C11" s="24" t="str">
        <f>'Quote Builder'!C16</f>
        <v/>
      </c>
      <c r="D11" s="24" t="str">
        <f>'Quote Builder'!D16</f>
        <v/>
      </c>
      <c r="E11" s="24">
        <f>'Quote Builder'!E16</f>
        <v>0</v>
      </c>
      <c r="F11" s="25" t="str">
        <f>IF('Quote Builder'!B16="","",ROUND('Quote Builder'!F16,2))</f>
        <v/>
      </c>
      <c r="G11" s="26" t="str">
        <f>IF('Quote Builder'!B16="","",ROUND('Quote Builder'!G16,2))</f>
        <v/>
      </c>
      <c r="H11" s="25" t="str">
        <f>IF('Quote Builder'!B16="","",ROUND('Quote Builder'!H16,2))</f>
        <v/>
      </c>
      <c r="I11" s="27" t="str">
        <f>IF('Quote Builder'!B16="","",ROUND('Quote Builder'!I16,2))</f>
        <v/>
      </c>
      <c r="J11" s="25" t="str">
        <f>IF('Quote Builder'!B16="","",ROUND('Quote Builder'!K16,2))</f>
        <v/>
      </c>
    </row>
    <row r="12" spans="1:10" ht="19.5" customHeight="1" x14ac:dyDescent="0.25">
      <c r="A12" s="20">
        <v>3</v>
      </c>
      <c r="B12" s="20">
        <f>'Quote Builder'!B17</f>
        <v>0</v>
      </c>
      <c r="C12" s="20" t="str">
        <f>'Quote Builder'!C17</f>
        <v/>
      </c>
      <c r="D12" s="20" t="str">
        <f>'Quote Builder'!D17</f>
        <v/>
      </c>
      <c r="E12" s="20">
        <f>'Quote Builder'!E17</f>
        <v>0</v>
      </c>
      <c r="F12" s="21" t="str">
        <f>IF('Quote Builder'!B17="","",ROUND('Quote Builder'!F17,2))</f>
        <v/>
      </c>
      <c r="G12" s="22" t="str">
        <f>IF('Quote Builder'!B17="","",ROUND('Quote Builder'!G17,2))</f>
        <v/>
      </c>
      <c r="H12" s="21" t="str">
        <f>IF('Quote Builder'!B17="","",ROUND('Quote Builder'!H17,2))</f>
        <v/>
      </c>
      <c r="I12" s="23" t="str">
        <f>IF('Quote Builder'!B17="","",ROUND('Quote Builder'!I17,2))</f>
        <v/>
      </c>
      <c r="J12" s="21" t="str">
        <f>IF('Quote Builder'!B17="","",ROUND('Quote Builder'!K17,2))</f>
        <v/>
      </c>
    </row>
    <row r="13" spans="1:10" ht="19.5" customHeight="1" x14ac:dyDescent="0.25">
      <c r="A13" s="24">
        <v>4</v>
      </c>
      <c r="B13" s="24">
        <f>'Quote Builder'!B18</f>
        <v>0</v>
      </c>
      <c r="C13" s="24" t="str">
        <f>'Quote Builder'!C18</f>
        <v/>
      </c>
      <c r="D13" s="24" t="str">
        <f>'Quote Builder'!D18</f>
        <v/>
      </c>
      <c r="E13" s="24">
        <f>'Quote Builder'!E18</f>
        <v>0</v>
      </c>
      <c r="F13" s="25" t="str">
        <f>IF('Quote Builder'!B18="","",ROUND('Quote Builder'!F18,2))</f>
        <v/>
      </c>
      <c r="G13" s="26" t="str">
        <f>IF('Quote Builder'!B18="","",ROUND('Quote Builder'!G18,2))</f>
        <v/>
      </c>
      <c r="H13" s="25" t="str">
        <f>IF('Quote Builder'!B18="","",ROUND('Quote Builder'!H18,2))</f>
        <v/>
      </c>
      <c r="I13" s="27" t="str">
        <f>IF('Quote Builder'!B18="","",ROUND('Quote Builder'!I18,2))</f>
        <v/>
      </c>
      <c r="J13" s="25" t="str">
        <f>IF('Quote Builder'!B18="","",ROUND('Quote Builder'!K18,2))</f>
        <v/>
      </c>
    </row>
    <row r="14" spans="1:10" ht="19.5" customHeight="1" x14ac:dyDescent="0.25">
      <c r="A14" s="20">
        <v>5</v>
      </c>
      <c r="B14" s="20">
        <f>'Quote Builder'!B19</f>
        <v>0</v>
      </c>
      <c r="C14" s="20" t="str">
        <f>'Quote Builder'!C19</f>
        <v/>
      </c>
      <c r="D14" s="20" t="str">
        <f>'Quote Builder'!D19</f>
        <v/>
      </c>
      <c r="E14" s="20">
        <f>'Quote Builder'!E19</f>
        <v>0</v>
      </c>
      <c r="F14" s="21" t="str">
        <f>IF('Quote Builder'!B19="","",ROUND('Quote Builder'!F19,2))</f>
        <v/>
      </c>
      <c r="G14" s="22" t="str">
        <f>IF('Quote Builder'!B19="","",ROUND('Quote Builder'!G19,2))</f>
        <v/>
      </c>
      <c r="H14" s="21" t="str">
        <f>IF('Quote Builder'!B19="","",ROUND('Quote Builder'!H19,2))</f>
        <v/>
      </c>
      <c r="I14" s="23" t="str">
        <f>IF('Quote Builder'!B19="","",ROUND('Quote Builder'!I19,2))</f>
        <v/>
      </c>
      <c r="J14" s="21" t="str">
        <f>IF('Quote Builder'!B19="","",ROUND('Quote Builder'!K19,2))</f>
        <v/>
      </c>
    </row>
    <row r="15" spans="1:10" ht="19.5" customHeight="1" x14ac:dyDescent="0.25">
      <c r="A15" s="24">
        <v>6</v>
      </c>
      <c r="B15" s="24">
        <f>'Quote Builder'!B20</f>
        <v>0</v>
      </c>
      <c r="C15" s="24" t="str">
        <f>'Quote Builder'!C20</f>
        <v/>
      </c>
      <c r="D15" s="24" t="str">
        <f>'Quote Builder'!D20</f>
        <v/>
      </c>
      <c r="E15" s="24">
        <f>'Quote Builder'!E20</f>
        <v>0</v>
      </c>
      <c r="F15" s="25" t="str">
        <f>IF('Quote Builder'!B20="","",ROUND('Quote Builder'!F20,2))</f>
        <v/>
      </c>
      <c r="G15" s="26" t="str">
        <f>IF('Quote Builder'!B20="","",ROUND('Quote Builder'!G20,2))</f>
        <v/>
      </c>
      <c r="H15" s="25" t="str">
        <f>IF('Quote Builder'!B20="","",ROUND('Quote Builder'!H20,2))</f>
        <v/>
      </c>
      <c r="I15" s="27" t="str">
        <f>IF('Quote Builder'!B20="","",ROUND('Quote Builder'!I20,2))</f>
        <v/>
      </c>
      <c r="J15" s="25" t="str">
        <f>IF('Quote Builder'!B20="","",ROUND('Quote Builder'!K20,2))</f>
        <v/>
      </c>
    </row>
    <row r="16" spans="1:10" ht="19.5" customHeight="1" x14ac:dyDescent="0.25">
      <c r="A16" s="20">
        <v>7</v>
      </c>
      <c r="B16" s="20">
        <f>'Quote Builder'!B21</f>
        <v>0</v>
      </c>
      <c r="C16" s="20" t="str">
        <f>'Quote Builder'!C21</f>
        <v/>
      </c>
      <c r="D16" s="20" t="str">
        <f>'Quote Builder'!D21</f>
        <v/>
      </c>
      <c r="E16" s="20">
        <f>'Quote Builder'!E21</f>
        <v>0</v>
      </c>
      <c r="F16" s="21" t="str">
        <f>IF('Quote Builder'!B21="","",ROUND('Quote Builder'!F21,2))</f>
        <v/>
      </c>
      <c r="G16" s="22" t="str">
        <f>IF('Quote Builder'!B21="","",ROUND('Quote Builder'!G21,2))</f>
        <v/>
      </c>
      <c r="H16" s="21" t="str">
        <f>IF('Quote Builder'!B21="","",ROUND('Quote Builder'!H21,2))</f>
        <v/>
      </c>
      <c r="I16" s="23" t="str">
        <f>IF('Quote Builder'!B21="","",ROUND('Quote Builder'!I21,2))</f>
        <v/>
      </c>
      <c r="J16" s="21" t="str">
        <f>IF('Quote Builder'!B21="","",ROUND('Quote Builder'!K21,2))</f>
        <v/>
      </c>
    </row>
    <row r="17" spans="1:10" ht="19.5" customHeight="1" x14ac:dyDescent="0.25">
      <c r="A17" s="24">
        <v>8</v>
      </c>
      <c r="B17" s="24">
        <f>'Quote Builder'!B22</f>
        <v>0</v>
      </c>
      <c r="C17" s="24" t="str">
        <f>'Quote Builder'!C22</f>
        <v/>
      </c>
      <c r="D17" s="24" t="str">
        <f>'Quote Builder'!D22</f>
        <v/>
      </c>
      <c r="E17" s="24">
        <f>'Quote Builder'!E22</f>
        <v>0</v>
      </c>
      <c r="F17" s="25" t="str">
        <f>IF('Quote Builder'!B22="","",ROUND('Quote Builder'!F22,2))</f>
        <v/>
      </c>
      <c r="G17" s="26" t="str">
        <f>IF('Quote Builder'!B22="","",ROUND('Quote Builder'!G22,2))</f>
        <v/>
      </c>
      <c r="H17" s="25" t="str">
        <f>IF('Quote Builder'!B22="","",ROUND('Quote Builder'!H22,2))</f>
        <v/>
      </c>
      <c r="I17" s="27" t="str">
        <f>IF('Quote Builder'!B22="","",ROUND('Quote Builder'!I22,2))</f>
        <v/>
      </c>
      <c r="J17" s="25" t="str">
        <f>IF('Quote Builder'!B22="","",ROUND('Quote Builder'!K22,2))</f>
        <v/>
      </c>
    </row>
    <row r="18" spans="1:10" ht="19.5" customHeight="1" x14ac:dyDescent="0.25">
      <c r="A18" s="20">
        <v>9</v>
      </c>
      <c r="B18" s="20">
        <f>'Quote Builder'!B23</f>
        <v>0</v>
      </c>
      <c r="C18" s="20" t="str">
        <f>'Quote Builder'!C23</f>
        <v/>
      </c>
      <c r="D18" s="20" t="str">
        <f>'Quote Builder'!D23</f>
        <v/>
      </c>
      <c r="E18" s="20">
        <f>'Quote Builder'!E23</f>
        <v>0</v>
      </c>
      <c r="F18" s="21" t="str">
        <f>IF('Quote Builder'!B23="","",ROUND('Quote Builder'!F23,2))</f>
        <v/>
      </c>
      <c r="G18" s="22" t="str">
        <f>IF('Quote Builder'!B23="","",ROUND('Quote Builder'!G23,2))</f>
        <v/>
      </c>
      <c r="H18" s="21" t="str">
        <f>IF('Quote Builder'!B23="","",ROUND('Quote Builder'!H23,2))</f>
        <v/>
      </c>
      <c r="I18" s="23" t="str">
        <f>IF('Quote Builder'!B23="","",ROUND('Quote Builder'!I23,2))</f>
        <v/>
      </c>
      <c r="J18" s="21" t="str">
        <f>IF('Quote Builder'!B23="","",ROUND('Quote Builder'!K23,2))</f>
        <v/>
      </c>
    </row>
    <row r="19" spans="1:10" ht="19.5" customHeight="1" x14ac:dyDescent="0.25">
      <c r="A19" s="24">
        <v>10</v>
      </c>
      <c r="B19" s="24">
        <f>'Quote Builder'!B24</f>
        <v>0</v>
      </c>
      <c r="C19" s="24" t="str">
        <f>'Quote Builder'!C24</f>
        <v/>
      </c>
      <c r="D19" s="24" t="str">
        <f>'Quote Builder'!D24</f>
        <v/>
      </c>
      <c r="E19" s="24">
        <f>'Quote Builder'!E24</f>
        <v>0</v>
      </c>
      <c r="F19" s="25" t="str">
        <f>IF('Quote Builder'!B24="","",ROUND('Quote Builder'!F24,2))</f>
        <v/>
      </c>
      <c r="G19" s="26" t="str">
        <f>IF('Quote Builder'!B24="","",ROUND('Quote Builder'!G24,2))</f>
        <v/>
      </c>
      <c r="H19" s="25" t="str">
        <f>IF('Quote Builder'!B24="","",ROUND('Quote Builder'!H24,2))</f>
        <v/>
      </c>
      <c r="I19" s="27" t="str">
        <f>IF('Quote Builder'!B24="","",ROUND('Quote Builder'!I24,2))</f>
        <v/>
      </c>
      <c r="J19" s="25" t="str">
        <f>IF('Quote Builder'!B24="","",ROUND('Quote Builder'!K24,2))</f>
        <v/>
      </c>
    </row>
    <row r="20" spans="1:10" ht="19.5" customHeight="1" x14ac:dyDescent="0.25">
      <c r="A20" s="20">
        <v>11</v>
      </c>
      <c r="B20" s="20">
        <f>'Quote Builder'!B25</f>
        <v>0</v>
      </c>
      <c r="C20" s="20" t="str">
        <f>'Quote Builder'!C25</f>
        <v/>
      </c>
      <c r="D20" s="20" t="str">
        <f>'Quote Builder'!D25</f>
        <v/>
      </c>
      <c r="E20" s="20">
        <f>'Quote Builder'!E25</f>
        <v>0</v>
      </c>
      <c r="F20" s="21" t="str">
        <f>IF('Quote Builder'!B25="","",ROUND('Quote Builder'!F25,2))</f>
        <v/>
      </c>
      <c r="G20" s="22" t="str">
        <f>IF('Quote Builder'!B25="","",ROUND('Quote Builder'!G25,2))</f>
        <v/>
      </c>
      <c r="H20" s="21" t="str">
        <f>IF('Quote Builder'!B25="","",ROUND('Quote Builder'!H25,2))</f>
        <v/>
      </c>
      <c r="I20" s="23" t="str">
        <f>IF('Quote Builder'!B25="","",ROUND('Quote Builder'!I25,2))</f>
        <v/>
      </c>
      <c r="J20" s="21" t="str">
        <f>IF('Quote Builder'!B25="","",ROUND('Quote Builder'!K25,2))</f>
        <v/>
      </c>
    </row>
    <row r="21" spans="1:10" ht="19.5" customHeight="1" x14ac:dyDescent="0.25">
      <c r="A21" s="24">
        <v>12</v>
      </c>
      <c r="B21" s="24">
        <f>'Quote Builder'!B26</f>
        <v>0</v>
      </c>
      <c r="C21" s="24" t="str">
        <f>'Quote Builder'!C26</f>
        <v/>
      </c>
      <c r="D21" s="24" t="str">
        <f>'Quote Builder'!D26</f>
        <v/>
      </c>
      <c r="E21" s="24">
        <f>'Quote Builder'!E26</f>
        <v>0</v>
      </c>
      <c r="F21" s="25" t="str">
        <f>IF('Quote Builder'!B26="","",ROUND('Quote Builder'!F26,2))</f>
        <v/>
      </c>
      <c r="G21" s="26" t="str">
        <f>IF('Quote Builder'!B26="","",ROUND('Quote Builder'!G26,2))</f>
        <v/>
      </c>
      <c r="H21" s="25" t="str">
        <f>IF('Quote Builder'!B26="","",ROUND('Quote Builder'!H26,2))</f>
        <v/>
      </c>
      <c r="I21" s="27" t="str">
        <f>IF('Quote Builder'!B26="","",ROUND('Quote Builder'!I26,2))</f>
        <v/>
      </c>
      <c r="J21" s="25" t="str">
        <f>IF('Quote Builder'!B26="","",ROUND('Quote Builder'!K26,2))</f>
        <v/>
      </c>
    </row>
    <row r="22" spans="1:10" ht="19.5" customHeight="1" x14ac:dyDescent="0.25">
      <c r="A22" s="20">
        <v>13</v>
      </c>
      <c r="B22" s="20">
        <f>'Quote Builder'!B27</f>
        <v>0</v>
      </c>
      <c r="C22" s="20" t="str">
        <f>'Quote Builder'!C27</f>
        <v/>
      </c>
      <c r="D22" s="20" t="str">
        <f>'Quote Builder'!D27</f>
        <v/>
      </c>
      <c r="E22" s="20">
        <f>'Quote Builder'!E27</f>
        <v>0</v>
      </c>
      <c r="F22" s="21" t="str">
        <f>IF('Quote Builder'!B27="","",ROUND('Quote Builder'!F27,2))</f>
        <v/>
      </c>
      <c r="G22" s="22" t="str">
        <f>IF('Quote Builder'!B27="","",ROUND('Quote Builder'!G27,2))</f>
        <v/>
      </c>
      <c r="H22" s="21" t="str">
        <f>IF('Quote Builder'!B27="","",ROUND('Quote Builder'!H27,2))</f>
        <v/>
      </c>
      <c r="I22" s="23" t="str">
        <f>IF('Quote Builder'!B27="","",ROUND('Quote Builder'!I27,2))</f>
        <v/>
      </c>
      <c r="J22" s="21" t="str">
        <f>IF('Quote Builder'!B27="","",ROUND('Quote Builder'!K27,2))</f>
        <v/>
      </c>
    </row>
    <row r="23" spans="1:10" ht="19.5" customHeight="1" x14ac:dyDescent="0.25">
      <c r="A23" s="24">
        <v>14</v>
      </c>
      <c r="B23" s="24">
        <f>'Quote Builder'!B28</f>
        <v>0</v>
      </c>
      <c r="C23" s="24" t="str">
        <f>'Quote Builder'!C28</f>
        <v/>
      </c>
      <c r="D23" s="24" t="str">
        <f>'Quote Builder'!D28</f>
        <v/>
      </c>
      <c r="E23" s="24">
        <f>'Quote Builder'!E28</f>
        <v>0</v>
      </c>
      <c r="F23" s="25" t="str">
        <f>IF('Quote Builder'!B28="","",ROUND('Quote Builder'!F28,2))</f>
        <v/>
      </c>
      <c r="G23" s="26" t="str">
        <f>IF('Quote Builder'!B28="","",ROUND('Quote Builder'!G28,2))</f>
        <v/>
      </c>
      <c r="H23" s="25" t="str">
        <f>IF('Quote Builder'!B28="","",ROUND('Quote Builder'!H28,2))</f>
        <v/>
      </c>
      <c r="I23" s="27" t="str">
        <f>IF('Quote Builder'!B28="","",ROUND('Quote Builder'!I28,2))</f>
        <v/>
      </c>
      <c r="J23" s="25" t="str">
        <f>IF('Quote Builder'!B28="","",ROUND('Quote Builder'!K28,2))</f>
        <v/>
      </c>
    </row>
    <row r="24" spans="1:10" ht="19.5" customHeight="1" x14ac:dyDescent="0.25">
      <c r="A24" s="20">
        <v>15</v>
      </c>
      <c r="B24" s="20">
        <f>'Quote Builder'!B29</f>
        <v>0</v>
      </c>
      <c r="C24" s="20" t="str">
        <f>'Quote Builder'!C29</f>
        <v/>
      </c>
      <c r="D24" s="20" t="str">
        <f>'Quote Builder'!D29</f>
        <v/>
      </c>
      <c r="E24" s="20">
        <f>'Quote Builder'!E29</f>
        <v>0</v>
      </c>
      <c r="F24" s="21" t="str">
        <f>IF('Quote Builder'!B29="","",ROUND('Quote Builder'!F29,2))</f>
        <v/>
      </c>
      <c r="G24" s="22" t="str">
        <f>IF('Quote Builder'!B29="","",ROUND('Quote Builder'!G29,2))</f>
        <v/>
      </c>
      <c r="H24" s="21" t="str">
        <f>IF('Quote Builder'!B29="","",ROUND('Quote Builder'!H29,2))</f>
        <v/>
      </c>
      <c r="I24" s="23" t="str">
        <f>IF('Quote Builder'!B29="","",ROUND('Quote Builder'!I29,2))</f>
        <v/>
      </c>
      <c r="J24" s="21" t="str">
        <f>IF('Quote Builder'!B29="","",ROUND('Quote Builder'!K29,2))</f>
        <v/>
      </c>
    </row>
    <row r="25" spans="1:10" ht="19.5" customHeight="1" x14ac:dyDescent="0.25">
      <c r="A25" s="24">
        <v>16</v>
      </c>
      <c r="B25" s="24">
        <f>'Quote Builder'!B30</f>
        <v>0</v>
      </c>
      <c r="C25" s="24" t="str">
        <f>'Quote Builder'!C30</f>
        <v/>
      </c>
      <c r="D25" s="24" t="str">
        <f>'Quote Builder'!D30</f>
        <v/>
      </c>
      <c r="E25" s="24">
        <f>'Quote Builder'!E30</f>
        <v>0</v>
      </c>
      <c r="F25" s="25" t="str">
        <f>IF('Quote Builder'!B30="","",ROUND('Quote Builder'!F30,2))</f>
        <v/>
      </c>
      <c r="G25" s="26" t="str">
        <f>IF('Quote Builder'!B30="","",ROUND('Quote Builder'!G30,2))</f>
        <v/>
      </c>
      <c r="H25" s="25" t="str">
        <f>IF('Quote Builder'!B30="","",ROUND('Quote Builder'!H30,2))</f>
        <v/>
      </c>
      <c r="I25" s="27" t="str">
        <f>IF('Quote Builder'!B30="","",ROUND('Quote Builder'!I30,2))</f>
        <v/>
      </c>
      <c r="J25" s="25" t="str">
        <f>IF('Quote Builder'!B30="","",ROUND('Quote Builder'!K30,2))</f>
        <v/>
      </c>
    </row>
    <row r="26" spans="1:10" ht="19.5" customHeight="1" x14ac:dyDescent="0.25">
      <c r="A26" s="20">
        <v>17</v>
      </c>
      <c r="B26" s="20">
        <f>'Quote Builder'!B31</f>
        <v>0</v>
      </c>
      <c r="C26" s="20" t="str">
        <f>'Quote Builder'!C31</f>
        <v/>
      </c>
      <c r="D26" s="20" t="str">
        <f>'Quote Builder'!D31</f>
        <v/>
      </c>
      <c r="E26" s="20">
        <f>'Quote Builder'!E31</f>
        <v>0</v>
      </c>
      <c r="F26" s="21" t="str">
        <f>IF('Quote Builder'!B31="","",ROUND('Quote Builder'!F31,2))</f>
        <v/>
      </c>
      <c r="G26" s="22" t="str">
        <f>IF('Quote Builder'!B31="","",ROUND('Quote Builder'!G31,2))</f>
        <v/>
      </c>
      <c r="H26" s="21" t="str">
        <f>IF('Quote Builder'!B31="","",ROUND('Quote Builder'!H31,2))</f>
        <v/>
      </c>
      <c r="I26" s="23" t="str">
        <f>IF('Quote Builder'!B31="","",ROUND('Quote Builder'!I31,2))</f>
        <v/>
      </c>
      <c r="J26" s="21" t="str">
        <f>IF('Quote Builder'!B31="","",ROUND('Quote Builder'!K31,2))</f>
        <v/>
      </c>
    </row>
    <row r="27" spans="1:10" ht="19.5" customHeight="1" x14ac:dyDescent="0.25">
      <c r="A27" s="24">
        <v>18</v>
      </c>
      <c r="B27" s="24">
        <f>'Quote Builder'!B32</f>
        <v>0</v>
      </c>
      <c r="C27" s="24" t="str">
        <f>'Quote Builder'!C32</f>
        <v/>
      </c>
      <c r="D27" s="24" t="str">
        <f>'Quote Builder'!D32</f>
        <v/>
      </c>
      <c r="E27" s="24">
        <f>'Quote Builder'!E32</f>
        <v>0</v>
      </c>
      <c r="F27" s="25" t="str">
        <f>IF('Quote Builder'!B32="","",ROUND('Quote Builder'!F32,2))</f>
        <v/>
      </c>
      <c r="G27" s="26" t="str">
        <f>IF('Quote Builder'!B32="","",ROUND('Quote Builder'!G32,2))</f>
        <v/>
      </c>
      <c r="H27" s="25" t="str">
        <f>IF('Quote Builder'!B32="","",ROUND('Quote Builder'!H32,2))</f>
        <v/>
      </c>
      <c r="I27" s="27" t="str">
        <f>IF('Quote Builder'!B32="","",ROUND('Quote Builder'!I32,2))</f>
        <v/>
      </c>
      <c r="J27" s="25" t="str">
        <f>IF('Quote Builder'!B32="","",ROUND('Quote Builder'!K32,2))</f>
        <v/>
      </c>
    </row>
    <row r="28" spans="1:10" ht="19.5" customHeight="1" x14ac:dyDescent="0.25">
      <c r="A28" s="20">
        <v>19</v>
      </c>
      <c r="B28" s="20">
        <f>'Quote Builder'!B33</f>
        <v>0</v>
      </c>
      <c r="C28" s="20" t="str">
        <f>'Quote Builder'!C33</f>
        <v/>
      </c>
      <c r="D28" s="20" t="str">
        <f>'Quote Builder'!D33</f>
        <v/>
      </c>
      <c r="E28" s="20">
        <f>'Quote Builder'!E33</f>
        <v>0</v>
      </c>
      <c r="F28" s="21" t="str">
        <f>IF('Quote Builder'!B33="","",ROUND('Quote Builder'!F33,2))</f>
        <v/>
      </c>
      <c r="G28" s="22" t="str">
        <f>IF('Quote Builder'!B33="","",ROUND('Quote Builder'!G33,2))</f>
        <v/>
      </c>
      <c r="H28" s="21" t="str">
        <f>IF('Quote Builder'!B33="","",ROUND('Quote Builder'!H33,2))</f>
        <v/>
      </c>
      <c r="I28" s="23" t="str">
        <f>IF('Quote Builder'!B33="","",ROUND('Quote Builder'!I33,2))</f>
        <v/>
      </c>
      <c r="J28" s="21" t="str">
        <f>IF('Quote Builder'!B33="","",ROUND('Quote Builder'!K33,2))</f>
        <v/>
      </c>
    </row>
    <row r="29" spans="1:10" ht="19.5" customHeight="1" x14ac:dyDescent="0.25">
      <c r="A29" s="24">
        <v>20</v>
      </c>
      <c r="B29" s="24">
        <f>'Quote Builder'!B34</f>
        <v>0</v>
      </c>
      <c r="C29" s="24" t="str">
        <f>'Quote Builder'!C34</f>
        <v/>
      </c>
      <c r="D29" s="24" t="str">
        <f>'Quote Builder'!D34</f>
        <v/>
      </c>
      <c r="E29" s="24">
        <f>'Quote Builder'!E34</f>
        <v>0</v>
      </c>
      <c r="F29" s="25" t="str">
        <f>IF('Quote Builder'!B34="","",ROUND('Quote Builder'!F34,2))</f>
        <v/>
      </c>
      <c r="G29" s="26" t="str">
        <f>IF('Quote Builder'!B34="","",ROUND('Quote Builder'!G34,2))</f>
        <v/>
      </c>
      <c r="H29" s="25" t="str">
        <f>IF('Quote Builder'!B34="","",ROUND('Quote Builder'!H34,2))</f>
        <v/>
      </c>
      <c r="I29" s="27" t="str">
        <f>IF('Quote Builder'!B34="","",ROUND('Quote Builder'!I34,2))</f>
        <v/>
      </c>
      <c r="J29" s="25" t="str">
        <f>IF('Quote Builder'!B34="","",ROUND('Quote Builder'!K34,2))</f>
        <v/>
      </c>
    </row>
    <row r="31" spans="1:10" ht="24" customHeight="1" x14ac:dyDescent="0.25">
      <c r="A31" s="32" t="s">
        <v>36</v>
      </c>
      <c r="B31" s="32"/>
      <c r="C31" s="32"/>
      <c r="D31" s="32"/>
      <c r="E31" s="32"/>
      <c r="F31" s="32"/>
      <c r="G31" s="32"/>
      <c r="H31" s="32"/>
      <c r="I31" s="32"/>
      <c r="J31" s="16">
        <f>ROUND('Quote Builder'!K36,2)</f>
        <v>18277.88</v>
      </c>
    </row>
    <row r="32" spans="1:10" ht="24" customHeight="1" x14ac:dyDescent="0.25">
      <c r="A32" s="32" t="s">
        <v>51</v>
      </c>
      <c r="B32" s="32"/>
      <c r="C32" s="32"/>
      <c r="D32" s="32"/>
      <c r="E32" s="32"/>
      <c r="F32" s="32"/>
      <c r="G32" s="32"/>
      <c r="H32" s="32"/>
      <c r="I32" s="32"/>
      <c r="J32" s="16">
        <f>ROUND('Quote Builder'!K37,2)</f>
        <v>0</v>
      </c>
    </row>
    <row r="33" spans="1:10" ht="24" customHeight="1" x14ac:dyDescent="0.25">
      <c r="A33" s="32" t="s">
        <v>38</v>
      </c>
      <c r="B33" s="32"/>
      <c r="C33" s="32"/>
      <c r="D33" s="32"/>
      <c r="E33" s="32"/>
      <c r="F33" s="32"/>
      <c r="G33" s="32"/>
      <c r="H33" s="32"/>
      <c r="I33" s="32"/>
      <c r="J33" s="16">
        <f>ROUND('Quote Builder'!K38,2)</f>
        <v>913.89</v>
      </c>
    </row>
    <row r="34" spans="1:10" ht="24" customHeight="1" x14ac:dyDescent="0.25">
      <c r="A34" s="33" t="s">
        <v>52</v>
      </c>
      <c r="B34" s="33"/>
      <c r="C34" s="33"/>
      <c r="D34" s="33"/>
      <c r="E34" s="33"/>
      <c r="F34" s="33"/>
      <c r="G34" s="33"/>
      <c r="H34" s="33"/>
      <c r="I34" s="33"/>
      <c r="J34" s="19">
        <f>ROUND('Quote Builder'!K39,2)</f>
        <v>19191.77</v>
      </c>
    </row>
    <row r="36" spans="1:10" ht="21.75" customHeight="1" x14ac:dyDescent="0.25">
      <c r="A36" s="34" t="s">
        <v>53</v>
      </c>
      <c r="B36" s="34"/>
      <c r="C36" s="34"/>
      <c r="D36" s="34"/>
      <c r="E36" s="34"/>
      <c r="F36" s="34"/>
      <c r="G36" s="34"/>
      <c r="H36" s="34"/>
      <c r="I36" s="34"/>
      <c r="J36" s="34"/>
    </row>
    <row r="37" spans="1:10" ht="18" customHeight="1" x14ac:dyDescent="0.25">
      <c r="A37" s="37" t="s">
        <v>54</v>
      </c>
      <c r="B37" s="37"/>
      <c r="C37" s="37"/>
      <c r="D37" s="37"/>
      <c r="E37" s="37"/>
      <c r="F37" s="37"/>
      <c r="G37" s="37"/>
      <c r="H37" s="37"/>
      <c r="I37" s="37"/>
      <c r="J37" s="37"/>
    </row>
    <row r="38" spans="1:10" ht="18" customHeight="1" x14ac:dyDescent="0.25">
      <c r="A38" s="36" t="s">
        <v>55</v>
      </c>
      <c r="B38" s="36"/>
      <c r="C38" s="36"/>
      <c r="D38" s="36"/>
      <c r="E38" s="36"/>
      <c r="F38" s="36"/>
      <c r="G38" s="36"/>
      <c r="H38" s="36"/>
      <c r="I38" s="36"/>
      <c r="J38" s="36"/>
    </row>
    <row r="39" spans="1:10" ht="18" customHeight="1" x14ac:dyDescent="0.25">
      <c r="A39" s="37" t="s">
        <v>56</v>
      </c>
      <c r="B39" s="37"/>
      <c r="C39" s="37"/>
      <c r="D39" s="37"/>
      <c r="E39" s="37"/>
      <c r="F39" s="37"/>
      <c r="G39" s="37"/>
      <c r="H39" s="37"/>
      <c r="I39" s="37"/>
      <c r="J39" s="37"/>
    </row>
    <row r="40" spans="1:10" ht="18" customHeight="1" x14ac:dyDescent="0.25">
      <c r="A40" s="36" t="s">
        <v>57</v>
      </c>
      <c r="B40" s="36"/>
      <c r="C40" s="36"/>
      <c r="D40" s="36"/>
      <c r="E40" s="36"/>
      <c r="F40" s="36"/>
      <c r="G40" s="36"/>
      <c r="H40" s="36"/>
      <c r="I40" s="36"/>
      <c r="J40" s="36"/>
    </row>
    <row r="41" spans="1:10" ht="18" customHeight="1" x14ac:dyDescent="0.25">
      <c r="A41" s="37" t="s">
        <v>58</v>
      </c>
      <c r="B41" s="37"/>
      <c r="C41" s="37"/>
      <c r="D41" s="37"/>
      <c r="E41" s="37"/>
      <c r="F41" s="37"/>
      <c r="G41" s="37"/>
      <c r="H41" s="37"/>
      <c r="I41" s="37"/>
      <c r="J41" s="37"/>
    </row>
    <row r="42" spans="1:10" ht="18" customHeight="1" x14ac:dyDescent="0.25">
      <c r="A42" s="36" t="s">
        <v>59</v>
      </c>
      <c r="B42" s="36"/>
      <c r="C42" s="36"/>
      <c r="D42" s="36"/>
      <c r="E42" s="36"/>
      <c r="F42" s="36"/>
      <c r="G42" s="36"/>
      <c r="H42" s="36"/>
      <c r="I42" s="36"/>
      <c r="J42" s="36"/>
    </row>
    <row r="44" spans="1:10" ht="30" customHeight="1" x14ac:dyDescent="0.25">
      <c r="A44" s="38" t="s">
        <v>60</v>
      </c>
      <c r="B44" s="38"/>
      <c r="C44" s="38"/>
      <c r="D44" s="38"/>
      <c r="E44" s="38"/>
      <c r="F44" s="38"/>
      <c r="G44" s="38"/>
      <c r="H44" s="38"/>
      <c r="I44" s="38"/>
      <c r="J44" s="38"/>
    </row>
  </sheetData>
  <mergeCells count="29">
    <mergeCell ref="A1:F1"/>
    <mergeCell ref="G1:J1"/>
    <mergeCell ref="A2:J2"/>
    <mergeCell ref="A4:B4"/>
    <mergeCell ref="C4:D4"/>
    <mergeCell ref="F4:G4"/>
    <mergeCell ref="H4:J4"/>
    <mergeCell ref="A5:B5"/>
    <mergeCell ref="C5:D5"/>
    <mergeCell ref="F5:G5"/>
    <mergeCell ref="H5:J5"/>
    <mergeCell ref="A6:B6"/>
    <mergeCell ref="C6:D6"/>
    <mergeCell ref="F6:G6"/>
    <mergeCell ref="H6:J6"/>
    <mergeCell ref="A7:B7"/>
    <mergeCell ref="C7:D7"/>
    <mergeCell ref="A31:I31"/>
    <mergeCell ref="A32:I32"/>
    <mergeCell ref="A33:I33"/>
    <mergeCell ref="A40:J40"/>
    <mergeCell ref="A41:J41"/>
    <mergeCell ref="A42:J42"/>
    <mergeCell ref="A44:J44"/>
    <mergeCell ref="A34:I34"/>
    <mergeCell ref="A36:J36"/>
    <mergeCell ref="A37:J37"/>
    <mergeCell ref="A38:J38"/>
    <mergeCell ref="A39:J3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13"/>
  <sheetViews>
    <sheetView showGridLines="0" zoomScaleNormal="100" workbookViewId="0"/>
  </sheetViews>
  <sheetFormatPr defaultColWidth="8.7109375" defaultRowHeight="15" x14ac:dyDescent="0.25"/>
  <cols>
    <col min="1" max="1" width="30" customWidth="1"/>
    <col min="2" max="2" width="42" customWidth="1"/>
    <col min="3" max="3" width="28" customWidth="1"/>
  </cols>
  <sheetData>
    <row r="1" spans="1:3" ht="36" customHeight="1" x14ac:dyDescent="0.25">
      <c r="A1" s="46" t="s">
        <v>61</v>
      </c>
      <c r="B1" s="46"/>
      <c r="C1" s="46"/>
    </row>
    <row r="3" spans="1:3" ht="21.75" customHeight="1" x14ac:dyDescent="0.25">
      <c r="A3" s="6" t="s">
        <v>62</v>
      </c>
      <c r="B3" s="7" t="s">
        <v>63</v>
      </c>
      <c r="C3" s="28" t="s">
        <v>64</v>
      </c>
    </row>
    <row r="4" spans="1:3" ht="21.75" customHeight="1" x14ac:dyDescent="0.25">
      <c r="A4" s="6" t="s">
        <v>65</v>
      </c>
      <c r="B4" s="7">
        <v>5</v>
      </c>
      <c r="C4" s="28" t="s">
        <v>64</v>
      </c>
    </row>
    <row r="5" spans="1:3" ht="21.75" customHeight="1" x14ac:dyDescent="0.25">
      <c r="A5" s="6" t="s">
        <v>66</v>
      </c>
      <c r="B5" s="7">
        <v>12</v>
      </c>
      <c r="C5" s="28" t="s">
        <v>64</v>
      </c>
    </row>
    <row r="6" spans="1:3" ht="21.75" customHeight="1" x14ac:dyDescent="0.25">
      <c r="A6" s="6" t="s">
        <v>67</v>
      </c>
      <c r="B6" s="7">
        <v>18</v>
      </c>
      <c r="C6" s="28" t="s">
        <v>64</v>
      </c>
    </row>
    <row r="7" spans="1:3" ht="21.75" customHeight="1" x14ac:dyDescent="0.25">
      <c r="A7" s="6" t="s">
        <v>68</v>
      </c>
      <c r="B7" s="7" t="s">
        <v>24</v>
      </c>
      <c r="C7" s="28" t="s">
        <v>64</v>
      </c>
    </row>
    <row r="8" spans="1:3" ht="21.75" customHeight="1" x14ac:dyDescent="0.25">
      <c r="A8" s="6" t="s">
        <v>69</v>
      </c>
      <c r="B8" s="7" t="s">
        <v>70</v>
      </c>
      <c r="C8" s="28" t="s">
        <v>64</v>
      </c>
    </row>
    <row r="9" spans="1:3" ht="21.75" customHeight="1" x14ac:dyDescent="0.25">
      <c r="A9" s="6" t="s">
        <v>71</v>
      </c>
      <c r="B9" s="7" t="s">
        <v>72</v>
      </c>
      <c r="C9" s="28" t="s">
        <v>64</v>
      </c>
    </row>
    <row r="10" spans="1:3" ht="21.75" customHeight="1" x14ac:dyDescent="0.25">
      <c r="A10" s="6" t="s">
        <v>73</v>
      </c>
      <c r="B10" s="7">
        <v>30</v>
      </c>
      <c r="C10" s="28" t="s">
        <v>64</v>
      </c>
    </row>
    <row r="11" spans="1:3" ht="21.75" customHeight="1" x14ac:dyDescent="0.25">
      <c r="A11" s="6" t="s">
        <v>74</v>
      </c>
      <c r="B11" s="7">
        <v>300</v>
      </c>
      <c r="C11" s="28" t="s">
        <v>64</v>
      </c>
    </row>
    <row r="12" spans="1:3" ht="21.75" customHeight="1" x14ac:dyDescent="0.25">
      <c r="A12" s="6" t="s">
        <v>75</v>
      </c>
      <c r="B12" s="7" t="s">
        <v>76</v>
      </c>
      <c r="C12" s="28" t="s">
        <v>64</v>
      </c>
    </row>
    <row r="13" spans="1:3" ht="21.75" customHeight="1" x14ac:dyDescent="0.25">
      <c r="A13" s="6" t="s">
        <v>77</v>
      </c>
      <c r="B13" s="7" t="s">
        <v>78</v>
      </c>
      <c r="C13" s="28" t="s">
        <v>64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Price List</vt:lpstr>
      <vt:lpstr>Quote Builder</vt:lpstr>
      <vt:lpstr>Quote Output</vt:lpstr>
      <vt:lpstr>Settings</vt:lpstr>
      <vt:lpstr>'Quote Output'!Print_Area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Nikhil</cp:lastModifiedBy>
  <cp:revision>0</cp:revision>
  <dcterms:created xsi:type="dcterms:W3CDTF">2026-03-05T13:50:09Z</dcterms:created>
  <dcterms:modified xsi:type="dcterms:W3CDTF">2026-03-06T05:50:48Z</dcterms:modified>
  <dc:language>en-US</dc:language>
</cp:coreProperties>
</file>